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CHAVESBOSCH_G\AppData\Local\Microsoft\Windows\INetCache\Content.Outlook\V0EYAV3P\"/>
    </mc:Choice>
  </mc:AlternateContent>
  <xr:revisionPtr revIDLastSave="0" documentId="13_ncr:1_{B253C209-834D-4D6D-93CB-AD5B71D7B270}" xr6:coauthVersionLast="47" xr6:coauthVersionMax="47" xr10:uidLastSave="{00000000-0000-0000-0000-000000000000}"/>
  <bookViews>
    <workbookView xWindow="-120" yWindow="-120" windowWidth="29040" windowHeight="15720" xr2:uid="{00000000-000D-0000-FFFF-FFFF00000000}"/>
  </bookViews>
  <sheets>
    <sheet name="Read me" sheetId="6" r:id="rId1"/>
    <sheet name="Total" sheetId="2" r:id="rId2"/>
    <sheet name="Men" sheetId="3" r:id="rId3"/>
    <sheet name="Women" sheetId="4" r:id="rId4"/>
    <sheet name="Activity categories &amp; sources" sheetId="5" r:id="rId5"/>
    <sheet name="Archive 2025" sheetId="10" r:id="rId6"/>
    <sheet name="Archive 2023" sheetId="9" r:id="rId7"/>
    <sheet name="Archive 2018" sheetId="7" r:id="rId8"/>
  </sheets>
  <externalReferences>
    <externalReference r:id="rId9"/>
    <externalReference r:id="rId10"/>
    <externalReference r:id="rId11"/>
  </externalReferences>
  <definedNames>
    <definedName name="__123Graph_A" hidden="1">[1]A11!#REF!</definedName>
    <definedName name="__123Graph_ABERLGRAP" hidden="1">'[2]Time series'!#REF!</definedName>
    <definedName name="__123Graph_ACATCH1" hidden="1">'[2]Time series'!#REF!</definedName>
    <definedName name="__123Graph_ACONVERG1" hidden="1">'[2]Time series'!#REF!</definedName>
    <definedName name="__123Graph_AECTOT" hidden="1">#REF!</definedName>
    <definedName name="__123Graph_AGRAPH2" hidden="1">'[2]Time series'!#REF!</definedName>
    <definedName name="__123Graph_AGRAPH41" hidden="1">'[2]Time series'!#REF!</definedName>
    <definedName name="__123Graph_AGRAPH42" hidden="1">'[2]Time series'!#REF!</definedName>
    <definedName name="__123Graph_AGRAPH44" hidden="1">'[2]Time series'!#REF!</definedName>
    <definedName name="__123Graph_APERIB" hidden="1">'[2]Time series'!#REF!</definedName>
    <definedName name="__123Graph_APRODABSC" hidden="1">'[2]Time series'!#REF!</definedName>
    <definedName name="__123Graph_APRODABSD" hidden="1">'[2]Time series'!#REF!</definedName>
    <definedName name="__123Graph_APRODTRE2" hidden="1">'[2]Time series'!#REF!</definedName>
    <definedName name="__123Graph_APRODTRE3" hidden="1">'[2]Time series'!#REF!</definedName>
    <definedName name="__123Graph_APRODTRE4" hidden="1">'[2]Time series'!#REF!</definedName>
    <definedName name="__123Graph_APRODTREND" hidden="1">'[2]Time series'!#REF!</definedName>
    <definedName name="__123Graph_AUTRECHT" hidden="1">'[2]Time series'!#REF!</definedName>
    <definedName name="__123Graph_B" hidden="1">[1]A11!#REF!</definedName>
    <definedName name="__123Graph_BBERLGRAP" hidden="1">'[2]Time series'!#REF!</definedName>
    <definedName name="__123Graph_BCATCH1" hidden="1">'[2]Time series'!#REF!</definedName>
    <definedName name="__123Graph_BCONVERG1" hidden="1">'[2]Time series'!#REF!</definedName>
    <definedName name="__123Graph_BECTOT" hidden="1">#REF!</definedName>
    <definedName name="__123Graph_BGRAPH2" hidden="1">'[2]Time series'!#REF!</definedName>
    <definedName name="__123Graph_BGRAPH41" hidden="1">'[2]Time series'!#REF!</definedName>
    <definedName name="__123Graph_BPERIB" hidden="1">'[2]Time series'!#REF!</definedName>
    <definedName name="__123Graph_BPRODABSC" hidden="1">'[2]Time series'!#REF!</definedName>
    <definedName name="__123Graph_BPRODABSD" hidden="1">'[2]Time series'!#REF!</definedName>
    <definedName name="__123Graph_C" hidden="1">[1]A11!#REF!</definedName>
    <definedName name="__123Graph_CBERLGRAP" hidden="1">'[2]Time series'!#REF!</definedName>
    <definedName name="__123Graph_CCATCH1" hidden="1">'[2]Time series'!#REF!</definedName>
    <definedName name="__123Graph_CCONVERG1" hidden="1">#REF!</definedName>
    <definedName name="__123Graph_CECTOT" hidden="1">#REF!</definedName>
    <definedName name="__123Graph_CGRAPH41" hidden="1">'[2]Time series'!#REF!</definedName>
    <definedName name="__123Graph_CGRAPH44" hidden="1">'[2]Time series'!#REF!</definedName>
    <definedName name="__123Graph_CPERIA" hidden="1">'[2]Time series'!#REF!</definedName>
    <definedName name="__123Graph_CPERIB" hidden="1">'[2]Time series'!#REF!</definedName>
    <definedName name="__123Graph_CPRODABSC" hidden="1">'[2]Time series'!#REF!</definedName>
    <definedName name="__123Graph_CPRODTRE2" hidden="1">'[2]Time series'!#REF!</definedName>
    <definedName name="__123Graph_CPRODTREND" hidden="1">'[2]Time series'!#REF!</definedName>
    <definedName name="__123Graph_CUTRECHT" hidden="1">'[2]Time series'!#REF!</definedName>
    <definedName name="__123Graph_D" hidden="1">[1]A11!#REF!</definedName>
    <definedName name="__123Graph_DBERLGRAP" hidden="1">'[2]Time series'!#REF!</definedName>
    <definedName name="__123Graph_DCATCH1" hidden="1">'[2]Time series'!#REF!</definedName>
    <definedName name="__123Graph_DCONVERG1" hidden="1">'[2]Time series'!#REF!</definedName>
    <definedName name="__123Graph_DECTOT" hidden="1">#REF!</definedName>
    <definedName name="__123Graph_DGRAPH41" hidden="1">'[2]Time series'!#REF!</definedName>
    <definedName name="__123Graph_DPERIA" hidden="1">'[2]Time series'!#REF!</definedName>
    <definedName name="__123Graph_DPERIB" hidden="1">'[2]Time series'!#REF!</definedName>
    <definedName name="__123Graph_DPRODABSC" hidden="1">'[2]Time series'!#REF!</definedName>
    <definedName name="__123Graph_DUTRECHT" hidden="1">'[2]Time series'!#REF!</definedName>
    <definedName name="__123Graph_E" hidden="1">[1]A11!#REF!</definedName>
    <definedName name="__123Graph_EBERLGRAP" hidden="1">'[2]Time series'!#REF!</definedName>
    <definedName name="__123Graph_ECATCH1" hidden="1">#REF!</definedName>
    <definedName name="__123Graph_ECONVERG1" hidden="1">'[2]Time series'!#REF!</definedName>
    <definedName name="__123Graph_EECTOT" hidden="1">#REF!</definedName>
    <definedName name="__123Graph_EGRAPH41" hidden="1">'[2]Time series'!#REF!</definedName>
    <definedName name="__123Graph_EPERIA" hidden="1">'[2]Time series'!#REF!</definedName>
    <definedName name="__123Graph_EPRODABSC" hidden="1">'[2]Time series'!#REF!</definedName>
    <definedName name="__123Graph_F" hidden="1">[1]A11!#REF!</definedName>
    <definedName name="__123Graph_FBERLGRAP" hidden="1">'[2]Time series'!#REF!</definedName>
    <definedName name="__123Graph_FGRAPH41" hidden="1">'[2]Time series'!#REF!</definedName>
    <definedName name="__123Graph_FPRODABSC" hidden="1">'[2]Time series'!#REF!</definedName>
    <definedName name="__123Graph_X" hidden="1">#REF!</definedName>
    <definedName name="__123Graph_XECTOT" hidden="1">#REF!</definedName>
    <definedName name="_1__123Graph_A_CURRENT" hidden="1">[1]A11!#REF!</definedName>
    <definedName name="_10__123Graph_A_CURRENT_8" hidden="1">[1]A11!#REF!</definedName>
    <definedName name="_102__123Graph_D_CURRENT" hidden="1">[3]A11!#REF!</definedName>
    <definedName name="_105__123Graph_D_CURRENT_1" hidden="1">[3]A11!#REF!</definedName>
    <definedName name="_108__123Graph_D_CURRENT_10" hidden="1">[3]A11!#REF!</definedName>
    <definedName name="_11__123Graph_A_CURRENT_9" hidden="1">[1]A11!#REF!</definedName>
    <definedName name="_111__123Graph_D_CURRENT_2" hidden="1">[3]A11!#REF!</definedName>
    <definedName name="_114__123Graph_D_CURRENT_3" hidden="1">[3]A11!#REF!</definedName>
    <definedName name="_117__123Graph_D_CURRENT_4" hidden="1">[3]A11!#REF!</definedName>
    <definedName name="_12__123Graph_A_CURRENT_2" hidden="1">[3]A11!#REF!</definedName>
    <definedName name="_12__123Graph_B_CURRENT" hidden="1">[1]A11!#REF!</definedName>
    <definedName name="_120__123Graph_D_CURRENT_5" hidden="1">[3]A11!#REF!</definedName>
    <definedName name="_123__123Graph_D_CURRENT_6" hidden="1">[3]A11!#REF!</definedName>
    <definedName name="_126__123Graph_D_CURRENT_7" hidden="1">[3]A11!#REF!</definedName>
    <definedName name="_129__123Graph_D_CURRENT_8" hidden="1">[3]A11!#REF!</definedName>
    <definedName name="_13__123Graph_B_CURRENT_1" hidden="1">[1]A11!#REF!</definedName>
    <definedName name="_132__123Graph_D_CURRENT_9" hidden="1">[3]A11!#REF!</definedName>
    <definedName name="_135__123Graph_E_CURRENT" hidden="1">[3]A11!#REF!</definedName>
    <definedName name="_138__123Graph_E_CURRENT_1" hidden="1">[3]A11!#REF!</definedName>
    <definedName name="_14__123Graph_B_CURRENT_10" hidden="1">[1]A11!#REF!</definedName>
    <definedName name="_141__123Graph_E_CURRENT_10" hidden="1">[3]A11!#REF!</definedName>
    <definedName name="_144__123Graph_E_CURRENT_2" hidden="1">[3]A11!#REF!</definedName>
    <definedName name="_147__123Graph_E_CURRENT_3" hidden="1">[3]A11!#REF!</definedName>
    <definedName name="_15__123Graph_A_CURRENT_3" hidden="1">[3]A11!#REF!</definedName>
    <definedName name="_15__123Graph_B_CURRENT_2" hidden="1">[1]A11!#REF!</definedName>
    <definedName name="_150__123Graph_E_CURRENT_4" hidden="1">[3]A11!#REF!</definedName>
    <definedName name="_153__123Graph_E_CURRENT_5" hidden="1">[3]A11!#REF!</definedName>
    <definedName name="_156__123Graph_E_CURRENT_6" hidden="1">[3]A11!#REF!</definedName>
    <definedName name="_159__123Graph_E_CURRENT_7" hidden="1">[3]A11!#REF!</definedName>
    <definedName name="_16__123Graph_B_CURRENT_3" hidden="1">[1]A11!#REF!</definedName>
    <definedName name="_162__123Graph_E_CURRENT_8" hidden="1">[3]A11!#REF!</definedName>
    <definedName name="_165__123Graph_E_CURRENT_9" hidden="1">[3]A11!#REF!</definedName>
    <definedName name="_168__123Graph_F_CURRENT" hidden="1">[3]A11!#REF!</definedName>
    <definedName name="_17__123Graph_B_CURRENT_4" hidden="1">[1]A11!#REF!</definedName>
    <definedName name="_171__123Graph_F_CURRENT_1" hidden="1">[3]A11!#REF!</definedName>
    <definedName name="_174__123Graph_F_CURRENT_10" hidden="1">[3]A11!#REF!</definedName>
    <definedName name="_177__123Graph_F_CURRENT_2" hidden="1">[3]A11!#REF!</definedName>
    <definedName name="_18__123Graph_A_CURRENT_4" hidden="1">[3]A11!#REF!</definedName>
    <definedName name="_18__123Graph_B_CURRENT_5" hidden="1">[1]A11!#REF!</definedName>
    <definedName name="_180__123Graph_F_CURRENT_3" hidden="1">[3]A11!#REF!</definedName>
    <definedName name="_183__123Graph_F_CURRENT_4" hidden="1">[3]A11!#REF!</definedName>
    <definedName name="_186__123Graph_F_CURRENT_5" hidden="1">[3]A11!#REF!</definedName>
    <definedName name="_189__123Graph_F_CURRENT_6" hidden="1">[3]A11!#REF!</definedName>
    <definedName name="_19__123Graph_B_CURRENT_6" hidden="1">[1]A11!#REF!</definedName>
    <definedName name="_192__123Graph_F_CURRENT_7" hidden="1">[3]A11!#REF!</definedName>
    <definedName name="_195__123Graph_F_CURRENT_8" hidden="1">[3]A11!#REF!</definedName>
    <definedName name="_198__123Graph_F_CURRENT_9" hidden="1">[3]A11!#REF!</definedName>
    <definedName name="_2__123Graph_A_CURRENT_1" hidden="1">[1]A11!#REF!</definedName>
    <definedName name="_20__123Graph_B_CURRENT_7" hidden="1">[1]A11!#REF!</definedName>
    <definedName name="_21__123Graph_A_CURRENT_5" hidden="1">[3]A11!#REF!</definedName>
    <definedName name="_21__123Graph_B_CURRENT_8" hidden="1">[1]A11!#REF!</definedName>
    <definedName name="_22__123Graph_B_CURRENT_9" hidden="1">[1]A11!#REF!</definedName>
    <definedName name="_23__123Graph_C_CURRENT" hidden="1">[1]A11!#REF!</definedName>
    <definedName name="_24__123Graph_A_CURRENT_6" hidden="1">[3]A11!#REF!</definedName>
    <definedName name="_24__123Graph_C_CURRENT_1" hidden="1">[1]A11!#REF!</definedName>
    <definedName name="_25__123Graph_C_CURRENT_10" hidden="1">[1]A11!#REF!</definedName>
    <definedName name="_26__123Graph_C_CURRENT_2" hidden="1">[1]A11!#REF!</definedName>
    <definedName name="_27__123Graph_A_CURRENT_7" hidden="1">[3]A11!#REF!</definedName>
    <definedName name="_27__123Graph_C_CURRENT_3" hidden="1">[1]A11!#REF!</definedName>
    <definedName name="_28__123Graph_C_CURRENT_4" hidden="1">[1]A11!#REF!</definedName>
    <definedName name="_29__123Graph_C_CURRENT_5" hidden="1">[1]A11!#REF!</definedName>
    <definedName name="_3__123Graph_A_CURRENT" hidden="1">[3]A11!#REF!</definedName>
    <definedName name="_3__123Graph_A_CURRENT_10" hidden="1">[1]A11!#REF!</definedName>
    <definedName name="_30__123Graph_A_CURRENT_8" hidden="1">[3]A11!#REF!</definedName>
    <definedName name="_30__123Graph_C_CURRENT_6" hidden="1">[1]A11!#REF!</definedName>
    <definedName name="_31__123Graph_C_CURRENT_7" hidden="1">[1]A11!#REF!</definedName>
    <definedName name="_32__123Graph_C_CURRENT_8" hidden="1">[1]A11!#REF!</definedName>
    <definedName name="_33__123Graph_A_CURRENT_9" hidden="1">[3]A11!#REF!</definedName>
    <definedName name="_33__123Graph_C_CURRENT_9" hidden="1">[1]A11!#REF!</definedName>
    <definedName name="_34__123Graph_D_CURRENT" hidden="1">[1]A11!#REF!</definedName>
    <definedName name="_35__123Graph_D_CURRENT_1" hidden="1">[1]A11!#REF!</definedName>
    <definedName name="_36__123Graph_B_CURRENT" hidden="1">[3]A11!#REF!</definedName>
    <definedName name="_36__123Graph_D_CURRENT_10" hidden="1">[1]A11!#REF!</definedName>
    <definedName name="_37__123Graph_D_CURRENT_2" hidden="1">[1]A11!#REF!</definedName>
    <definedName name="_38__123Graph_D_CURRENT_3" hidden="1">[1]A11!#REF!</definedName>
    <definedName name="_39__123Graph_B_CURRENT_1" hidden="1">[3]A11!#REF!</definedName>
    <definedName name="_39__123Graph_D_CURRENT_4" hidden="1">[1]A11!#REF!</definedName>
    <definedName name="_4__123Graph_A_CURRENT_2" hidden="1">[1]A11!#REF!</definedName>
    <definedName name="_40__123Graph_D_CURRENT_5" hidden="1">[1]A11!#REF!</definedName>
    <definedName name="_41__123Graph_D_CURRENT_6" hidden="1">[1]A11!#REF!</definedName>
    <definedName name="_42__123Graph_B_CURRENT_10" hidden="1">[3]A11!#REF!</definedName>
    <definedName name="_42__123Graph_D_CURRENT_7" hidden="1">[1]A11!#REF!</definedName>
    <definedName name="_43__123Graph_D_CURRENT_8" hidden="1">[1]A11!#REF!</definedName>
    <definedName name="_44__123Graph_D_CURRENT_9" hidden="1">[1]A11!#REF!</definedName>
    <definedName name="_45__123Graph_B_CURRENT_2" hidden="1">[3]A11!#REF!</definedName>
    <definedName name="_45__123Graph_E_CURRENT" hidden="1">[1]A11!#REF!</definedName>
    <definedName name="_46__123Graph_E_CURRENT_1" hidden="1">[1]A11!#REF!</definedName>
    <definedName name="_47__123Graph_E_CURRENT_10" hidden="1">[1]A11!#REF!</definedName>
    <definedName name="_48__123Graph_B_CURRENT_3" hidden="1">[3]A11!#REF!</definedName>
    <definedName name="_48__123Graph_E_CURRENT_2" hidden="1">[1]A11!#REF!</definedName>
    <definedName name="_49__123Graph_E_CURRENT_3" hidden="1">[1]A11!#REF!</definedName>
    <definedName name="_5__123Graph_A_CURRENT_3" hidden="1">[1]A11!#REF!</definedName>
    <definedName name="_50__123Graph_E_CURRENT_4" hidden="1">[1]A11!#REF!</definedName>
    <definedName name="_51__123Graph_B_CURRENT_4" hidden="1">[3]A11!#REF!</definedName>
    <definedName name="_51__123Graph_E_CURRENT_5" hidden="1">[1]A11!#REF!</definedName>
    <definedName name="_52__123Graph_E_CURRENT_6" hidden="1">[1]A11!#REF!</definedName>
    <definedName name="_53__123Graph_E_CURRENT_7" hidden="1">[1]A11!#REF!</definedName>
    <definedName name="_54__123Graph_B_CURRENT_5" hidden="1">[3]A11!#REF!</definedName>
    <definedName name="_54__123Graph_E_CURRENT_8" hidden="1">[1]A11!#REF!</definedName>
    <definedName name="_55__123Graph_E_CURRENT_9" hidden="1">[1]A11!#REF!</definedName>
    <definedName name="_56__123Graph_F_CURRENT" hidden="1">[1]A11!#REF!</definedName>
    <definedName name="_57__123Graph_B_CURRENT_6" hidden="1">[3]A11!#REF!</definedName>
    <definedName name="_57__123Graph_F_CURRENT_1" hidden="1">[1]A11!#REF!</definedName>
    <definedName name="_58__123Graph_F_CURRENT_10" hidden="1">[1]A11!#REF!</definedName>
    <definedName name="_59__123Graph_F_CURRENT_2" hidden="1">[1]A11!#REF!</definedName>
    <definedName name="_6__123Graph_A_CURRENT_1" hidden="1">[3]A11!#REF!</definedName>
    <definedName name="_6__123Graph_A_CURRENT_4" hidden="1">[1]A11!#REF!</definedName>
    <definedName name="_60__123Graph_B_CURRENT_7" hidden="1">[3]A11!#REF!</definedName>
    <definedName name="_60__123Graph_F_CURRENT_3" hidden="1">[1]A11!#REF!</definedName>
    <definedName name="_61__123Graph_F_CURRENT_4" hidden="1">[1]A11!#REF!</definedName>
    <definedName name="_62__123Graph_F_CURRENT_5" hidden="1">[1]A11!#REF!</definedName>
    <definedName name="_63__123Graph_B_CURRENT_8" hidden="1">[3]A11!#REF!</definedName>
    <definedName name="_63__123Graph_F_CURRENT_6" hidden="1">[1]A11!#REF!</definedName>
    <definedName name="_64__123Graph_F_CURRENT_7" hidden="1">[1]A11!#REF!</definedName>
    <definedName name="_65__123Graph_F_CURRENT_8" hidden="1">[1]A11!#REF!</definedName>
    <definedName name="_66__123Graph_B_CURRENT_9" hidden="1">[3]A11!#REF!</definedName>
    <definedName name="_66__123Graph_F_CURRENT_9" hidden="1">[1]A11!#REF!</definedName>
    <definedName name="_69__123Graph_C_CURRENT" hidden="1">[3]A11!#REF!</definedName>
    <definedName name="_7__123Graph_A_CURRENT_5" hidden="1">[1]A11!#REF!</definedName>
    <definedName name="_72__123Graph_C_CURRENT_1" hidden="1">[3]A11!#REF!</definedName>
    <definedName name="_75__123Graph_C_CURRENT_10" hidden="1">[3]A11!#REF!</definedName>
    <definedName name="_78__123Graph_C_CURRENT_2" hidden="1">[3]A11!#REF!</definedName>
    <definedName name="_8__123Graph_A_CURRENT_6" hidden="1">[1]A11!#REF!</definedName>
    <definedName name="_81__123Graph_C_CURRENT_3" hidden="1">[3]A11!#REF!</definedName>
    <definedName name="_84__123Graph_C_CURRENT_4" hidden="1">[3]A11!#REF!</definedName>
    <definedName name="_87__123Graph_C_CURRENT_5" hidden="1">[3]A11!#REF!</definedName>
    <definedName name="_9__123Graph_A_CURRENT_10" hidden="1">[3]A11!#REF!</definedName>
    <definedName name="_9__123Graph_A_CURRENT_7" hidden="1">[1]A11!#REF!</definedName>
    <definedName name="_90__123Graph_C_CURRENT_6" hidden="1">[3]A11!#REF!</definedName>
    <definedName name="_93__123Graph_C_CURRENT_7" hidden="1">[3]A11!#REF!</definedName>
    <definedName name="_96__123Graph_C_CURRENT_8" hidden="1">[3]A11!#REF!</definedName>
    <definedName name="_99__123Graph_C_CURRENT_9" hidden="1">[3]A11!#REF!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DME_BeforeCloseCompleted" hidden="1">"False"</definedName>
    <definedName name="DME_Dirty" hidden="1">"False"</definedName>
    <definedName name="DME_LocalFile" hidden="1">"True"</definedName>
    <definedName name="FIG2wp1" hidden="1">#REF!</definedName>
    <definedName name="HTML_CodePage" hidden="1">1252</definedName>
    <definedName name="HTML_Control" hidden="1">{"'43'!$A$2:$G$17"}</definedName>
    <definedName name="HTML_control2" hidden="1">{"'43'!$A$2:$G$17"}</definedName>
    <definedName name="HTML_Description" hidden="1">""</definedName>
    <definedName name="HTML_Email" hidden="1">""</definedName>
    <definedName name="HTML_Header" hidden="1">"43"</definedName>
    <definedName name="HTML_LastUpdate" hidden="1">"6/5/98"</definedName>
    <definedName name="HTML_LineAfter" hidden="1">FALSE</definedName>
    <definedName name="HTML_LineBefore" hidden="1">FALSE</definedName>
    <definedName name="HTML_Name" hidden="1">"Ministry of Education"</definedName>
    <definedName name="HTML_OBDlg2" hidden="1">TRUE</definedName>
    <definedName name="HTML_OBDlg4" hidden="1">TRUE</definedName>
    <definedName name="HTML_OS" hidden="1">0</definedName>
    <definedName name="HTML_PathFile" hidden="1">"I:\WORKING\EDSTATS\table43.htm"</definedName>
    <definedName name="HTML_Title" hidden="1">"table43"</definedName>
    <definedName name="_xlnm.Print_Area" localSheetId="0">'Read me'!$A$1:$H$30</definedName>
    <definedName name="_xlnm.Print_Area" localSheetId="1">Total!$A$1:$AL$36</definedName>
    <definedName name="tabx" hidden="1">{"g95_96m1",#N/A,FALSE,"Graf(95+96)M";"g95_96m2",#N/A,FALSE,"Graf(95+96)M";"g95_96mb1",#N/A,FALSE,"Graf(95+96)Mb";"g95_96mb2",#N/A,FALSE,"Graf(95+96)Mb";"g95_96f1",#N/A,FALSE,"Graf(95+96)F";"g95_96f2",#N/A,FALSE,"Graf(95+96)F";"g95_96fb1",#N/A,FALSE,"Graf(95+96)Fb";"g95_96fb2",#N/A,FALSE,"Graf(95+96)Fb"}</definedName>
    <definedName name="temp" hidden="1">[3]A11!#REF!</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hidden="1">{"_R22_General",#N/A,TRUE,"R22_General";"_R22_Questions",#N/A,TRUE,"R22_Questions";"ColA_R22",#N/A,TRUE,"R2295";"_R22_Tables",#N/A,TRUE,"R2295"}</definedName>
    <definedName name="wrn.TabARA." hidden="1">{"Page1",#N/A,FALSE,"ARA M&amp;F&amp;T";"Page2",#N/A,FALSE,"ARA M&amp;F&amp;T";"Page3",#N/A,FALSE,"ARA M&amp;F&amp;T"}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3" i="9" l="1"/>
  <c r="C111" i="9"/>
  <c r="I35" i="9"/>
  <c r="F35" i="9"/>
  <c r="I15" i="9"/>
  <c r="C30" i="4"/>
  <c r="C28" i="4"/>
</calcChain>
</file>

<file path=xl/sharedStrings.xml><?xml version="1.0" encoding="utf-8"?>
<sst xmlns="http://schemas.openxmlformats.org/spreadsheetml/2006/main" count="3392" uniqueCount="757">
  <si>
    <t>2.3.1</t>
  </si>
  <si>
    <t>2.3.2</t>
  </si>
  <si>
    <t>T</t>
  </si>
  <si>
    <t>Paid work or study</t>
  </si>
  <si>
    <t>paid work (all jobs)</t>
  </si>
  <si>
    <t>travel to and from work/study</t>
  </si>
  <si>
    <t>time in school or classes</t>
  </si>
  <si>
    <t>research/homework</t>
  </si>
  <si>
    <t>job search</t>
  </si>
  <si>
    <t>other paid work or study-related</t>
  </si>
  <si>
    <t>Unpaid work</t>
  </si>
  <si>
    <t>routine housework</t>
  </si>
  <si>
    <t>shopping</t>
  </si>
  <si>
    <t>care for household members</t>
  </si>
  <si>
    <t>child care</t>
  </si>
  <si>
    <t>adult care</t>
  </si>
  <si>
    <t>care for non household members</t>
  </si>
  <si>
    <t>volunteering</t>
  </si>
  <si>
    <t>travel related to household activities</t>
  </si>
  <si>
    <t>other unpaid</t>
  </si>
  <si>
    <t>Personal care</t>
  </si>
  <si>
    <t>sleeping</t>
  </si>
  <si>
    <t>eating &amp; drinking</t>
  </si>
  <si>
    <t>personal, household, and medical services + travel related to personal care</t>
  </si>
  <si>
    <t>Leisure</t>
  </si>
  <si>
    <t>sports</t>
  </si>
  <si>
    <t>participating / attending events</t>
  </si>
  <si>
    <t>visiting or entertaining friends</t>
  </si>
  <si>
    <t>TV or radio at home</t>
  </si>
  <si>
    <t>Other leisure activities</t>
  </si>
  <si>
    <t>Other</t>
  </si>
  <si>
    <t>religious / spiritual activities and civic obligations</t>
  </si>
  <si>
    <t>other (no categories)</t>
  </si>
  <si>
    <t>Total</t>
  </si>
  <si>
    <t>Austria</t>
  </si>
  <si>
    <t>2008/09</t>
  </si>
  <si>
    <t>15-64</t>
  </si>
  <si>
    <t>Men</t>
  </si>
  <si>
    <t>Women</t>
  </si>
  <si>
    <t>Canada</t>
  </si>
  <si>
    <t>Finland</t>
  </si>
  <si>
    <t>2009/10</t>
  </si>
  <si>
    <t>France</t>
  </si>
  <si>
    <t>Germany</t>
  </si>
  <si>
    <t>2012/13</t>
  </si>
  <si>
    <t>Japan</t>
  </si>
  <si>
    <t>(see notes)</t>
  </si>
  <si>
    <t xml:space="preserve">Italy </t>
  </si>
  <si>
    <t>2013/2014</t>
  </si>
  <si>
    <t>Mexico</t>
  </si>
  <si>
    <t xml:space="preserve">Norway </t>
  </si>
  <si>
    <t>2010/211</t>
  </si>
  <si>
    <t>Latvia</t>
  </si>
  <si>
    <t>Spain</t>
  </si>
  <si>
    <t>2014/15</t>
  </si>
  <si>
    <t>2014/2015</t>
  </si>
  <si>
    <t>Unspecified employment. 
Unspecified main job. 
Working time in main job. 
Coffee and other breaks in main job. 
Working time in second job. 
Coffee and other breaks in second job. 
Unspecified activities related to employment. 
Lunch break. 
Other specified activities related to employment. 
Other specified activities related to employment.</t>
  </si>
  <si>
    <t>Travel related to personal business. 
Travel to/from work. 
Travel in the course of work. 
Travel to work from home and back only. 
Travel to work from a place other than home. 
Travel related to education. Travel escorting to/ from education.</t>
  </si>
  <si>
    <t>Classes and lectures</t>
  </si>
  <si>
    <t>Homework.
Free time study.</t>
  </si>
  <si>
    <t>Activities related to job seeking</t>
  </si>
  <si>
    <t>Unspecified study school or university.
Unspecified activities related to school or university. 
Other specified activities related to school or university.</t>
  </si>
  <si>
    <t>Unspecified food management. 
Food preparation and baking. 
Dish washing. Preserving. 
Other specified food management. 
Unspecified household upkeep. 
Cleaning dwelling. 
Cleaning yard. Heating and water. 
Arranging household goods and materials. 
Disposal of waste. 
Other or unspecified household upkeep. 
Unspecified making and care for textiles. 
Laundry. Ironing. 
Handicraft and producing textiles. 
Other specified making and care for textiles. 
Gardening. 
Tending domestic animals. 
Caring for pets. 
Walking the dog. 
Other specified gardening and pet care. 
Unspecified construction and repairs. 
House construction and renovation. 
Repairs of dwelling. 
Making repairing and maintaining equipment. 
Woodcraft metalcraft sculpture and pottery. 
Other specified making repairing and maintaining equipment. 
Vehicle maintenance. 
Other specified construction and repairs. 
Household management not using the internet. 
Unspecified household management using the internet. 
Banking and bill paying via the internet. 
Other specified household management using the internet.</t>
  </si>
  <si>
    <t>Unspecified shopping and services. 
Unspecified shopping. 
Shopping mainly for food. 
Shopping mainly for clothing. 
Shopping mainly related to accommodation. 
Shopping or browsing at car boot sales or antique fairs. 
Window shopping or other shopping as leisure. 
Other specified shopping. 
Commercial and administrative services. 
Personal services.
Other specified shopping and services. 
Shopping for and ordering clothing via the internet. 
Shopping for and ordering unspecified goods and services via the internet. 
Shopping for and ordering food via the internet. 
Shopping for and ordering goods and services related to accommodation via the internet. 
Shopping for and ordering mass media via the internet. 
Shopping for and ordering entertainment via the internet.</t>
  </si>
  <si>
    <t xml:space="preserve"> Unspecified childcare.  
Unspecified physical care &amp; supervision of a child.  
Feeding the child.  
Other and unspecified physical care &amp; supervision of a child.  
Teaching the child.  
Reading playing and talking with child.  Accompanying child.  
Other or unspecified childcare.</t>
  </si>
  <si>
    <t>Unspecified household and family care.
Unspecified help to a non-dependent e.g. injured adult household member. 
Physical care of a non-dependent e.g. injured adult household member. 
Accompanying a non-dependent adult household member e.g. to hospital. 
Other specified help to a non-dependent adult household member. 
Unspecified help to a dependent adult household member. 
Physical care of a dependent adult household member e.g. Alzheimic parent. 
Accompanying a dependent adult household member e.g. Alzheimic. 
Other specified help to a dependent adult household member.</t>
  </si>
  <si>
    <t>Unspecified informal help to other households. 
Food management as help to other households. 
Household upkeep as help to other households. 
Gardening and pet care as help to other households. 
Construction and repairs as help to other households. 
Shopping and services as help to other households. 
Help to other households in employment and farming. 
Unspecified childcare as help to other households. 
Physical care and supervision of child as help to other household. 
Teaching non-coresident child. 
Reading playing &amp; talking to non-coresident child. 
Accompanying non-coresident child. 
Physical care and supervision of own child as help to other household. 
Reading playing &amp; talking to own non-coresident child. 
Accompanying own non-coresident child. 
Other specified childcare as help to other household. 
Unspecified help to an adult of another household. 
Physical care and supervision of an adult as help to another household. 
Accompanying an adult as help to another household. 
Other specified help to an adult member of another household. 
Other specified informal help to another household. 
Other specified informal help.</t>
  </si>
  <si>
    <t>Unspecified volunteer work and meetings. 
Volunteer work through an organisation.</t>
  </si>
  <si>
    <t>Sleep.
In bed not asleep</t>
  </si>
  <si>
    <t>Eating.</t>
  </si>
  <si>
    <t>Unspecified personal care. 
Sick in bed. 
Unspecified other personal care. 
Wash and dress. 
Other specified personal care.</t>
  </si>
  <si>
    <t>Unspecified sports and outdoor activities. 
Unspecified physical exercise. 
Walking and hiking. 
Taking a walk or hike that lasts at least miles or 1 hour. 
Other walk or hike. 
Jogging and running. 
Biking skiing and skating. 
Biking. Skiing or skating. 
Unspecified ball games. 
Indoor pairs or doubles games. 
Indoor team games. 
Outdoor pairs or doubles games. 
Outdoor team games. 
Other specified ball games. 
Gymnastics. 
Fitness. 
Unspecified water sports. 
Swimming. 
Other specified water sports. 
Other specified physical exercise. 
Unspecified productive exercise. 
Hunting and fishing. 
Picking berries mushroom and herbs. 
Other specified productive exercise. 
Unspecified sports related activities. 
Activities related to sports. 
Activities related to productive exercise.</t>
  </si>
  <si>
    <t>Cinema. 
Unspecified theatre or concerts. 
Opera operetta or light opera. 
Concerts or other performances of classical music. 
Live music other than classical concerts, opera, and musicals. 
Dance performances. 
Other specified theatre or concerts. 
Art exhibitions and museums. 
Sports events. 
Visiting a historical site. 
Visiting a wildlife site. 
Visiting a botanical site. 
Visiting a leisure park. 
Visiting an urban park playground designated play area.</t>
  </si>
  <si>
    <t>Unspecified social life. 
Socialising with family. 
Visiting and receiving visitors. 
Celebrations. 
Telephone conversation. 
Other specified social life.</t>
  </si>
  <si>
    <t>Unspecified TV video or DVD watching . 
Watching a film on TV. 
Watching sport on TV. 
Other specified TV watching. 
Unspecified video watching. 
Watching a film on video. 
Watching sport on video. 
Other specified video watching. 
Unspecified listening to radio and music. 
Unspecified radio listening. 
Listening to music on the radio. 
Listening to sport on the radio. 
Other specified radio listening. 
Listening to recordings.</t>
  </si>
  <si>
    <t>Unspecified social life and entertainment. 
Unspecified entertainment and culture. 
Plays musicals or pantomimes. 
Unspecified library. 
Borrowing books records audiotapes videotapes CDs VDs etc. from a library. 
Reference to books and other library materials within a library. 
Using internet in the library. 
Using computers in the library other than internet use. 
Reading newspapers in a library. 
Other specified library activities. 
Other specified entertainment and culture. 
Other or unspecified entertainment or culture. Resting - Time out. 
Unspecified hobbies games and computing. 
Unspecified arts. 
Unspecified visual arts. 
Painting drawing or other graphic arts. 
Making videos taking photographs or related photographic activities. 
Other specified visual arts. 
Unspecified performing arts. 
Singing or other musical activities. 
Other specified performing arts. 
Literary arts. 
Other specified arts. 
Unspecified hobbies. 
Collecting. 
Correspondence. 
Other specified or unspecified arts and hobbies. 
Computing – programming. 
Unspecified information by computing. 
Information searching on the internet. 
Other specified information by computing. 
Unspecified communication by computer. 
Communication on the internet. 
Other specified communication by computing. 
Unspecified other computing. 
Skype or other video call. 
Other specified computing. 
Unspecified games. 
Solo games and play. 
Unspecified games and play with others. 
Billiards pool snooker or petanque. 
Chess and bridge. 
Other specified parlour games and play. 
Computer games. 
Gambling. 
Other specified games. 
Unspecified mass media. 
Unspecified reading. 
Reading periodicals. 
Reading books. 
Other specified reading. 
Travel to visit friends/relatives in their homes not respondents household. 
Travel related to other social activities. 
Travel related to entertainment and culture. 
Travel related to other leisure. 
Travel related to physical exercise. 
Travel related to hunting &amp; fishing. 
Travel related to productive exercise other than hunting &amp; fishing. 
Travel related to gambling. 
Travel related to hobbies other than gambling. 
Travel related to changing locality. 
Travel to holiday base. 
Travel for day trip/just walk.</t>
  </si>
  <si>
    <t>Religious activities. 
Travel related to religious activities.</t>
  </si>
  <si>
    <t>Travel related to unspecified time use. 
Other specified travel. 
Punctuating activity. 
Filling in the time use diary. 
No main activity no idea what it might be. 
No main activity some idea what it might be. 
Illegible activity. 
Unspecified time use. 
Not applicable. 
Queryable.</t>
  </si>
  <si>
    <t>Germany (2012/13, age 15-64)</t>
  </si>
  <si>
    <t>Main occupation. 
Secondary Employmet. 
Employment without subdivision. 
Qualification/Training for Profession. 
Internship as part of a gainful employment.</t>
  </si>
  <si>
    <t>Travel times Main employment. 
Travel times for secondary employment. 
Travel times employment or subdivision. 
Other travel time Employment. 
Way times school. 
Travel times University. 
Other travel times Qualification/Education.</t>
  </si>
  <si>
    <t>German. 
Foreign language. 
Mathematics   etc. 
Art/Music. 
Social Sciences. 
Sports. 
Other subjects. 
Offers of the school for preparation/follow-up. 
Other childcare facilities School. 
AGs. 
Courses University. 
Other activities in the field of higher education.
Breaks at school. 
Free hours/lessons at school. 
Breaks university. 
Other Activities Qualification/Education.</t>
  </si>
  <si>
    <t>Preparation/Postprocessing Courses. 
Homework/self-study for the school/private tuition. 
Qualification outside working hours.</t>
  </si>
  <si>
    <t>Job search.</t>
  </si>
  <si>
    <t>Break during work without subdivision. 
Other activities Employment.</t>
  </si>
  <si>
    <t xml:space="preserve">Prepare meals. 
Baking. 
Dish Cleaning, Table Covering/Clearance. 
Preserving food. 
Other activities Meal preparation. 
Cleaning/tidying up the apartment. 
Cleaning yard/cellar/garage, waste disposal. 
Heating. 
Other Activities Maintenance House/Apartment. 
Washing clothes. 
Ironing and lacking. 
Production of textiles. 
Repair/Modify Textiles. 
Other activities textiles. 
Plant care outside. 
Plant care indoors. 
Plant care without place. 
Farm Animal 
Care. Pet Care. 
Dog walking. 
Other plant/animal care. 
House building and maintenance. 
Home repairs, renovation. 
Production/Maintenance/Repair. 
Equipment. Maintenance/Rep. 
Household items. 
Vehicle repair/maintenance. 
Other activities Building/Handicraft.
Household chores. 
Budget planning (including internet/telephone). 
Other activities Housekeeping/Family.
</t>
  </si>
  <si>
    <t>Shopping (without phone/internet). 
Shopping administrative procedure/service/administration. 
Shopping  personal services. 
Shopping medical Services. 
Other Activities Shopping/External Services.</t>
  </si>
  <si>
    <t>Personal care/Child supervision. 
Homework help/instructions child. 
Playing/Sport Child. 
Conversations child. 
Accompanying/Dates with child. 
Reading aloud to a child. 
Other activities Child care.</t>
  </si>
  <si>
    <t>Support/Care for HH members.</t>
  </si>
  <si>
    <t>Support for other households.</t>
  </si>
  <si>
    <t>Honorary/Voluntary Engagement.</t>
  </si>
  <si>
    <t>Travel times household, plants, animals. 
Travel times building/craft activities. 
Travel times Shopping, third-party services. 
Travel times Childcare. 
Travel times Support of adult HH members. 
Travel times Other Current household/family. Way times Volunteer. 
Travel times Support for other households. 
Way times Participation in meetings. 
Other Ways Commitment, Assistance, Gathering.</t>
  </si>
  <si>
    <t>Sleeping.</t>
  </si>
  <si>
    <t>Food and drink.</t>
  </si>
  <si>
    <t>Washing and dressing.
Ill in bed/sick.
Other personal care activities.</t>
  </si>
  <si>
    <t>Walking. 
Jogging / Nordic Walking / Hiking. Cycling and Skating. 
Ball games. 
Gymnastics / Fitness / Dancing. 
Water Sports. 
Other Physical Activity. 
Set-up times for sports activities.
Sport without further description.</t>
  </si>
  <si>
    <t>Cinema. 
Theater/Concerts/Opera/Musical. 
Art Exhibitions/Museums.
Sports events  
Excursions/Zoo/Amusement Parks.
Other Entertainment/Culture</t>
  </si>
  <si>
    <t>Calls. 
Telephone calls (also SMS).  
Going out. 
Visit. 
Family celebrations/private events. 
Other Activities Social Life/Entertainment.</t>
  </si>
  <si>
    <t>Television and Video/DV.  
Radio, listening to music.</t>
  </si>
  <si>
    <t>Art / Making Music. 
Correspondence (except Computer / Mobile). 
Other hobbies. 
Board Games / Game with each other. 
Games Alone, Gambling. 
Computer games. 
Other games.
Libraries. 
Rest/Time Out/Bridge Time.
Reading newspapers (also electronically). 
Read magazines (also electronic). 
Reading books (also electronic). 
Listening while reading aloud. 
Other reading (also electronic). 
Reading without further description. 
Programming/Repair Computer/Smartphone. 
Inform by computer/smartphone. 
Communication via Computer/Smartphone. 
Other activities Computer/Smartphone. 
Not specified Act. Computer/Smartphone.
Unidentified Leisure. 
Way times Social contacts. 
Travel Times Entertainment/Culture. 
Other ways Social Life/Entertainment. 
Travel times sports/hobbies/games. 
Travel times media usage.</t>
  </si>
  <si>
    <t>Religious activities.
Political and Social Assemblies. 
Other Activities Meetings.</t>
  </si>
  <si>
    <t>Other/unspecified travel times. 
Completing the journal. 
Indefinite time usage (not specified).
Travel times Travel.</t>
  </si>
  <si>
    <t>Italy (2013/2014, age 15-64)</t>
  </si>
  <si>
    <t>Main work, training at work, other activities carried out for work. 
Coffee break / short breaks on the main job. 
Movements during the main work. 
Second job. 
Coffee break / short breaks during the second job. 
Movements during the second job. 
Lunch break.</t>
  </si>
  <si>
    <t>Movements for work. 
Movements for school, university. 
Movements linked to other studies or courses.</t>
  </si>
  <si>
    <t>Courses, lessons, exams. 
Studies and courses of expression and art. 
Studies and language courses. 
Studies and courses for computer use. 
Technical and operational studies and courses.</t>
  </si>
  <si>
    <t>Study at home (homework), in the library or elsewhere.</t>
  </si>
  <si>
    <t>Activities carried out for work, outside working hours. 
Other activities related to school or university. 
Other specified and unspecified activities related to studies and courses.</t>
  </si>
  <si>
    <t>Prepare meals. 
Wash the dishes. 
Set the table and clear the table. 
Other activities specified and not linked to the preparation of the meals.
 Cleaning and tidying of the house and parts of the residential building. 
Cleaning of external parts of the house. 
Supply of material for heating and water. 
Arrangement of objects and assets of your family. 
Other activity specified and no tied to the care of the house. 
Wash, roll out and collect the laundry. 
Ironing. 
Production of clothing, linen, footwear (not for work). 
Other activity specified and no tied to the production, repair and priest of dresses, biancheria, calzature. 
Plant care. 
Care of poultry / farm animals. 
Caring for pets. 
Take the dog for a walk. 
Other activity specified and no tied to the gardening and to the cure of animals. 
Construction and renovation of your home. 
Repairs in your home: painting walls, repairing systems, etc. 
Construction, repair and care of furniture or other assets of your home. 
Maintenance and repair of vehicles. 
Other activity specified and no tied to the building and repair house, other goods and vehicles. 
Management of family life. 
Management of family life with the use of the PC or the Internet.</t>
  </si>
  <si>
    <t>Purchase of goods, daily shopping. 
Purchase of commercial services for the home and family. 
Purchase of administrative services for the home and the family. 
Medical services, other paid personal services. 
Veterinary services for pets or poultry, breeding. 
Other activities specified and not related to purchases of goods and services</t>
  </si>
  <si>
    <t>Physical care and surveillance. 
Help the children / teenagers to do their homework. 
Playing, reading and talking with children / young people in the family. 
Accompany the children / teenagers. 
Other activity specified and no linked to the care of boys / boys.</t>
  </si>
  <si>
    <t>Physical care for adults of the family.
Health benefits for disabled or sick adults in the family.
Company, accompanying adults of the family.
Help given to adults of the family in carrying out various activities: extra-domestic work, study, etc.
Other activities specified and not of care or help to adults.</t>
  </si>
  <si>
    <t>Cook as a help.
Cleaning and tidying the house as an aid.
Construction and repairs as an aid.
Purchases of goods and services as help.
Help in extra-domestic work.
Care for children / youngsters from other families as help.
Care for adults as help.
Other activities specified and not related to free aid for people of other families.</t>
  </si>
  <si>
    <t>Voluntary activities carried out within a group / association.</t>
  </si>
  <si>
    <t>Movements for the care of your home.
Movements for purchases of goods / services, management of the family.
Movements for the care of children of the family.
Movements for the care of adults of the family.
Movements linked to voluntary activities.
Movements linked to free aid to other families.</t>
  </si>
  <si>
    <t>Care for their non-cohabiting children.</t>
  </si>
  <si>
    <t>Eat and drink.</t>
  </si>
  <si>
    <t>Movements for the care of one's own person.
Stay sick.
Wash, dress, comb.
Other specified and unspecified cures related to the. own person, medical care.</t>
  </si>
  <si>
    <t>Participation in meetings / meetings.
Cinema.
Theater, concert.
Exhibitions, museums.
Library (not for study).
Sporting events as a spectator.</t>
  </si>
  <si>
    <t>Socialize with your family.
Make and receive visits.
Celebrations.
Telephone conversations.
Social activities of children / young people not better specified.
Talk outside the home with people who do not live together.
Other activities of social life carried out outside the home.
Other activities specified and not related to social life.
Correspondence.
Email, chat, mobile messaging.</t>
  </si>
  <si>
    <t>Watch television or record videocassette, dvd, dvx.
Watch TV shows, movies, videos on PC or the Internet.
Listen to music.
Listen to music or radio on PC or Internet.</t>
  </si>
  <si>
    <t>Religious participation</t>
  </si>
  <si>
    <t xml:space="preserve">Other activity specified and no linked to the religious social participation.
Movements related to social and religious participation.
Movements linked to the change of location.
</t>
  </si>
  <si>
    <t>France (2009/10, age 15-64)</t>
  </si>
  <si>
    <t>211- 214, 223, 231, 233</t>
  </si>
  <si>
    <t>251, 261, 263, 264, 271, 272</t>
  </si>
  <si>
    <t>221, 232, 234</t>
  </si>
  <si>
    <t>311-344, 371-399</t>
  </si>
  <si>
    <t>351, 352</t>
  </si>
  <si>
    <t>411-414, 420-424</t>
  </si>
  <si>
    <t>431-433</t>
  </si>
  <si>
    <t>419, 429, 439</t>
  </si>
  <si>
    <t>813, 819</t>
  </si>
  <si>
    <t>111, 113</t>
  </si>
  <si>
    <t>141-146</t>
  </si>
  <si>
    <t xml:space="preserve">112, 121-124, 131-133, 151, 812 </t>
  </si>
  <si>
    <t>612-619</t>
  </si>
  <si>
    <t xml:space="preserve"> 510, 532, 533, 651-658</t>
  </si>
  <si>
    <t>511-524, 674</t>
  </si>
  <si>
    <t xml:space="preserve"> 634-636</t>
  </si>
  <si>
    <t>621-633, 637-641, 661-673, 678</t>
  </si>
  <si>
    <t>531, 541, 542</t>
  </si>
  <si>
    <t>911, 999</t>
  </si>
  <si>
    <t>Norway (2010/11, age 15-64)</t>
  </si>
  <si>
    <t>110-114</t>
  </si>
  <si>
    <t>118, 119, 317</t>
  </si>
  <si>
    <t>310, 311</t>
  </si>
  <si>
    <t>313-314</t>
  </si>
  <si>
    <t>116, 117, 315</t>
  </si>
  <si>
    <t>210-230</t>
  </si>
  <si>
    <t>271, 272, 274, 270, 277</t>
  </si>
  <si>
    <t>240-246</t>
  </si>
  <si>
    <t>267, 268</t>
  </si>
  <si>
    <t>570-575, 577</t>
  </si>
  <si>
    <t>290-295</t>
  </si>
  <si>
    <t>231-237, 260-267, 269, 275, 276, 281</t>
  </si>
  <si>
    <t>412, 413</t>
  </si>
  <si>
    <t>115, 316, 420, 421</t>
  </si>
  <si>
    <t xml:space="preserve"> 273, 410, 411, 414, 415, 528</t>
  </si>
  <si>
    <t>510-518, 520, 521, 523</t>
  </si>
  <si>
    <t>530-540</t>
  </si>
  <si>
    <t>541-547</t>
  </si>
  <si>
    <t>566-569</t>
  </si>
  <si>
    <t>519, 522, 524-527, 529, 548-565, 590-666</t>
  </si>
  <si>
    <t>0, 950-953</t>
  </si>
  <si>
    <t>Finland (2009/10, age 15-64)</t>
  </si>
  <si>
    <t>111, 112, 121</t>
  </si>
  <si>
    <t>910, 921, 922</t>
  </si>
  <si>
    <t>200, 211, 212, 221</t>
  </si>
  <si>
    <t>129, 219</t>
  </si>
  <si>
    <t>311-315, 319, 321-324, 329, 331-334, 339, 341-343, 349, 351-354, 359, 371</t>
  </si>
  <si>
    <t>361-364, 369</t>
  </si>
  <si>
    <t>381-385, 389</t>
  </si>
  <si>
    <t>423-425</t>
  </si>
  <si>
    <t>411, 412, 419</t>
  </si>
  <si>
    <t>931, 936, 938, 939, 941, 942</t>
  </si>
  <si>
    <t>300, 421, 422, 426, 429</t>
  </si>
  <si>
    <t xml:space="preserve">011, 012 </t>
  </si>
  <si>
    <t>021, 022, 029</t>
  </si>
  <si>
    <t>013, 031, 032, 039, 901</t>
  </si>
  <si>
    <t>525, 611-617, 619, 623, 631</t>
  </si>
  <si>
    <t>431, 439, 514, 521-523, 529</t>
  </si>
  <si>
    <t>511-513, 515, 516, 519, 715, 723, 734</t>
  </si>
  <si>
    <t>821, 831</t>
  </si>
  <si>
    <t>524, 531-533, 539, 621, 622, 629, 711-714, 719, 721, 722, 729, 731-735, 739, 811-814, 819, 822, 832, 839, 992</t>
  </si>
  <si>
    <t>900, 943, 951, 952, 961, 971, 991, 995, 998, 999</t>
  </si>
  <si>
    <t>main and second job + activities related to employment</t>
  </si>
  <si>
    <t>travel to/from work.
Travel related to study</t>
  </si>
  <si>
    <t>school or university.
Free time study.</t>
  </si>
  <si>
    <t>homework</t>
  </si>
  <si>
    <t>food preparation + dish washing + cleaning dwelling + other household upkeep + laundry + ironing + gardening + walking the dog + tending to domestic animals + caring for pets + construction &amp; repair + other domestic work</t>
  </si>
  <si>
    <t>shopping &amp; services</t>
  </si>
  <si>
    <t>physical care &amp; supervision of a child + teaching, reading, talking to a child</t>
  </si>
  <si>
    <t>informal help to other households</t>
  </si>
  <si>
    <t>organisational work</t>
  </si>
  <si>
    <t>travel related to shopping + transporting a child + other domestic travel</t>
  </si>
  <si>
    <t>sleep</t>
  </si>
  <si>
    <t>eating</t>
  </si>
  <si>
    <t>other personal care + unspecified travel</t>
  </si>
  <si>
    <t>walking and hiking + other sports &amp; outdoor activities</t>
  </si>
  <si>
    <t>entertainment &amp; culture</t>
  </si>
  <si>
    <t xml:space="preserve">visits and feasts + other social life </t>
  </si>
  <si>
    <t>TV &amp; video + Radio &amp; music</t>
  </si>
  <si>
    <t>handicraft + resting + computer and video games + other computing + other hobbies &amp; games + reading books + other reading + unspecified leisure + travel related to leisure</t>
  </si>
  <si>
    <t>participatory activities</t>
  </si>
  <si>
    <t>unspecified time use</t>
  </si>
  <si>
    <t>Japan (2016, age 15-64)</t>
  </si>
  <si>
    <t>Spain (2009/10, age 15-64)</t>
  </si>
  <si>
    <t>910, 920</t>
  </si>
  <si>
    <t>200, 211, 221</t>
  </si>
  <si>
    <t>300-359, 371</t>
  </si>
  <si>
    <t>361-363, 369</t>
  </si>
  <si>
    <t>420-429</t>
  </si>
  <si>
    <t>930, 936, 938-940</t>
  </si>
  <si>
    <t xml:space="preserve"> 11, 12</t>
  </si>
  <si>
    <t>31, 39, 900</t>
  </si>
  <si>
    <t>520-529</t>
  </si>
  <si>
    <t>500-519</t>
  </si>
  <si>
    <t>820-839</t>
  </si>
  <si>
    <t>0603</t>
  </si>
  <si>
    <t>0504</t>
  </si>
  <si>
    <t>0301-0303</t>
  </si>
  <si>
    <t>15</t>
  </si>
  <si>
    <t>0101</t>
  </si>
  <si>
    <t>1301, 130301, 130401</t>
  </si>
  <si>
    <t>Excursions, trips and other activities' specified and not related to entertainment / culture.
Rest, pause, do nothing.
Artistic-expressive activities (painting, sculpture, photography, video, music, theater, cinema, prose and poetry).
Collections.
Listen to a fairy tale (for respondents up to 17 years).
Other specified and non-specific pastimes.
Computer science, programming.
Access to information via the computer: Internet, CD-rom, DVD.
Other specified and unspecified uses of the pc.
Playing alone, games of chance.
Playing with others, games of society.
Computer games, video games.
Games with animals.
Creative, artistic children's games: coloring, drawing, writing, etc. (for respondents up to 17 years).
Children's movement games: running, playing with the ball, the bicycle, the tricycle, etc. (for respondents up to 17 years).
Other specified and unspecified games.
Reading of newspapers.
Reading periodical magazines.
Reading books.
Read comics, magazines, for children (for respondents up to 17 years).
Other specified and unspecified readings.
Movements related to social life.
Movements linked to other activities of one's free time.
Displacements for leisure.</t>
  </si>
  <si>
    <t>15 and more</t>
  </si>
  <si>
    <t>Belgium*</t>
  </si>
  <si>
    <t>Greece*</t>
  </si>
  <si>
    <t>Poland*</t>
  </si>
  <si>
    <t>Country</t>
  </si>
  <si>
    <t>Survey year</t>
  </si>
  <si>
    <t>Age of reference</t>
  </si>
  <si>
    <t>To walk, to walk, to look at the shop windows, to make excursions on foot.
Jogging, running.
Cycling, skiing, skating.
Ball games.
Gymnastics, fitness.
Water sports, water sports.
Classical, modern dance, jazz, etc. (as a sport).
Other specified and unspecified sports.
Hunting and fishing.</t>
  </si>
  <si>
    <t>Average minutes spent in different activities (both weekdays and weekends)</t>
  </si>
  <si>
    <t>Click here</t>
  </si>
  <si>
    <t>Australia*</t>
  </si>
  <si>
    <t xml:space="preserve">The * denotes that time use estimates for Australia are not fully comparable, due to difference in the age of reference. </t>
  </si>
  <si>
    <t>Denmark</t>
  </si>
  <si>
    <t>Estonia</t>
  </si>
  <si>
    <t>Ireland</t>
  </si>
  <si>
    <t>15-74</t>
  </si>
  <si>
    <t>Korea</t>
  </si>
  <si>
    <t>Netherlands</t>
  </si>
  <si>
    <t>New Zealand</t>
  </si>
  <si>
    <t>Portugal</t>
  </si>
  <si>
    <t>Slovenia</t>
  </si>
  <si>
    <t>2000/01</t>
  </si>
  <si>
    <t>..</t>
  </si>
  <si>
    <t>Hungary*</t>
  </si>
  <si>
    <t>A. work-related activities</t>
  </si>
  <si>
    <t>main job + other job + unpaid work in family business or farm + work breaks + job search + job related training + other</t>
  </si>
  <si>
    <t>associated travel (employment &amp; education)</t>
  </si>
  <si>
    <t>attendance educational courses + breaks + other + attendance at recreational courses</t>
  </si>
  <si>
    <t>homework/study/research</t>
  </si>
  <si>
    <t>B. unpaid activities</t>
  </si>
  <si>
    <t>food/drink preparation + laundry + other housework + grounds/animal care + home maintenance + household management + other</t>
  </si>
  <si>
    <t>purchasing goods &amp; services</t>
  </si>
  <si>
    <t>childcare + caring for adults</t>
  </si>
  <si>
    <t>voluntary work</t>
  </si>
  <si>
    <t>associated travel (housework + childcare + shopping + volunteering)</t>
  </si>
  <si>
    <t>sleeping + sleeplessness</t>
  </si>
  <si>
    <t>eating/drinking</t>
  </si>
  <si>
    <t>personal hygiene + healtcare + associated travel</t>
  </si>
  <si>
    <t>sport &amp; outdoor activities</t>
  </si>
  <si>
    <t>visiting entertainment</t>
  </si>
  <si>
    <t>audio/visual media</t>
  </si>
  <si>
    <t>religious activities</t>
  </si>
  <si>
    <t>unspecified</t>
  </si>
  <si>
    <t>100-139</t>
  </si>
  <si>
    <t>911-922</t>
  </si>
  <si>
    <t>200 + 210 + 211 + 221</t>
  </si>
  <si>
    <t>212 + 219</t>
  </si>
  <si>
    <t>300-359 + 370 + 620-629</t>
  </si>
  <si>
    <t>360-369</t>
  </si>
  <si>
    <t>380-391</t>
  </si>
  <si>
    <t>400-419</t>
  </si>
  <si>
    <t>931-942</t>
  </si>
  <si>
    <t>10 + 11 + 12</t>
  </si>
  <si>
    <t>30 + 31 + 39 + 901</t>
  </si>
  <si>
    <t>600-619 + 631 + 982</t>
  </si>
  <si>
    <t>821-832</t>
  </si>
  <si>
    <t>531 + 700-819 + 951-981 + 998</t>
  </si>
  <si>
    <t>430-439 + 943</t>
  </si>
  <si>
    <t>900 + 995 + 999</t>
  </si>
  <si>
    <t>1/2 travel</t>
  </si>
  <si>
    <t>study</t>
  </si>
  <si>
    <t>B. household activities</t>
  </si>
  <si>
    <t>personal care</t>
  </si>
  <si>
    <t>religious activity</t>
  </si>
  <si>
    <t>paid employment + 1/2 breaks from work or study</t>
  </si>
  <si>
    <t>study, education + 1/2 breaks from work or study</t>
  </si>
  <si>
    <t>cooking + cleaning + house repairs</t>
  </si>
  <si>
    <t>shopping, messages/errands &amp; appointments</t>
  </si>
  <si>
    <t>childcare + playing and talking with children + caring for adults</t>
  </si>
  <si>
    <t>voluntary activity</t>
  </si>
  <si>
    <t>eating/drinking/having a meal</t>
  </si>
  <si>
    <t>playing sports, exercise and outdoor activity</t>
  </si>
  <si>
    <t>eating out/going to the pub + going out</t>
  </si>
  <si>
    <t>spending time/chatting with family, friends, neighbours + phoning/texting family, friends, neighbours</t>
  </si>
  <si>
    <t>watching TV</t>
  </si>
  <si>
    <t>resting/relaxing + reading &amp; listening music + computer/internet for personal us + hobbies and other leisure activities</t>
  </si>
  <si>
    <t>no activity</t>
  </si>
  <si>
    <t>work for pay/profit + education in work time + job search activities + other labour force activity</t>
  </si>
  <si>
    <t>travel associated with labour force activity &amp; education</t>
  </si>
  <si>
    <t>formal education + work-related training not in work time + informal education + other education</t>
  </si>
  <si>
    <t>food/drink preparation &amp; clean up + indoor cleaning &amp; laundry + grounds maintenance + home maintenance + household administration + production of household goods + gathering and collecting food for household consumption</t>
  </si>
  <si>
    <t>physical care + available for care + playing + teaching + helping with educational activities + other caring</t>
  </si>
  <si>
    <t>informal unpaid work</t>
  </si>
  <si>
    <t>formal unpaid work</t>
  </si>
  <si>
    <t>travel associated with household work + caregiving for household members + purchasing goods &amp; services</t>
  </si>
  <si>
    <t>hygiene + private activities + personal medical care + travel + other</t>
  </si>
  <si>
    <t>playing organised sport + exercise + taking part in performing arts</t>
  </si>
  <si>
    <t>social entertainment</t>
  </si>
  <si>
    <t>attending weddings, funerals and other</t>
  </si>
  <si>
    <t>watching TV/video + listening music/radio</t>
  </si>
  <si>
    <t xml:space="preserve">hobbies &amp; games + gambling + travel associated with sports &amp; hobbies + pleasure drives/cruises + reading + accessing internet + thinking + smoking + travel associated with mass media &amp; free time + other mass media &amp; free time </t>
  </si>
  <si>
    <t>religious practice + maori events + civic responsability + meetings + travel + other</t>
  </si>
  <si>
    <t>filling in time use diary + residual</t>
  </si>
  <si>
    <t>professional work</t>
  </si>
  <si>
    <t>travel from/to employment</t>
  </si>
  <si>
    <t>classes + travel as part of study</t>
  </si>
  <si>
    <t>food preparation &amp; additional activities + household upkeep + preparation &amp; treatment of clothing &amp; footwear + gardening &amp; pet care + construction &amp; repairs + household management</t>
  </si>
  <si>
    <t>childcare + care &amp; assistance for adult family</t>
  </si>
  <si>
    <t>other civil activities &amp; volunteering</t>
  </si>
  <si>
    <t>sleep + nap</t>
  </si>
  <si>
    <t>personal hygiene + personal services + other personal care</t>
  </si>
  <si>
    <t>entertainment &amp; culture + passive recreation + 1/2 other social life &amp; entertainment</t>
  </si>
  <si>
    <t>social life + 1/2 other social life &amp; entertainment</t>
  </si>
  <si>
    <t>TV &amp; video + music + 1/2 other reading &amp; audovisual</t>
  </si>
  <si>
    <t>hobbies &amp; games + reading + 1/2 other reading &amp; audovisual + travel as a goal</t>
  </si>
  <si>
    <t>civil activities</t>
  </si>
  <si>
    <t>other travelling + unspecified activities</t>
  </si>
  <si>
    <t>travel related to housework</t>
  </si>
  <si>
    <t>other homework</t>
  </si>
  <si>
    <t>meals</t>
  </si>
  <si>
    <t>socialising</t>
  </si>
  <si>
    <t>tv radio</t>
  </si>
  <si>
    <t>Denmark (2001, age 15-64)</t>
  </si>
  <si>
    <t>Ireland (2005, age 15-64)</t>
  </si>
  <si>
    <t>New Zealand (2009/10, age 15-64)</t>
  </si>
  <si>
    <t>Portugal (1999, age 15-64)</t>
  </si>
  <si>
    <t>India</t>
  </si>
  <si>
    <t>South Africa</t>
  </si>
  <si>
    <t xml:space="preserve">The * denotes that time use estimates for China are not fully comparable, due to difference in the age of reference. </t>
  </si>
  <si>
    <t>China*</t>
  </si>
  <si>
    <t>1 (except 180) + 2 (except 280) + 3 (except 380) + 740</t>
  </si>
  <si>
    <t>180 + 280 + 380 + 780</t>
  </si>
  <si>
    <t>710 + 730 + 790</t>
  </si>
  <si>
    <t>410-430 + 450-470 + 490-491</t>
  </si>
  <si>
    <t>440-448</t>
  </si>
  <si>
    <t>671-674</t>
  </si>
  <si>
    <t>480 + 610-630 + 690</t>
  </si>
  <si>
    <t>30-48 + 80 + 90</t>
  </si>
  <si>
    <t>810 + 870</t>
  </si>
  <si>
    <t>831-833</t>
  </si>
  <si>
    <t>920 + 930</t>
  </si>
  <si>
    <t>840 + 860 + 880 + 890 + 910 + 940-990 + 50</t>
  </si>
  <si>
    <t>650-660 + 820 + 60</t>
  </si>
  <si>
    <t>I + II + III (except for 119 + 129 + 139 + 149 + 159 + 169 + 219 + 229 + 319 + 329) + 751</t>
  </si>
  <si>
    <t>119 + 129 + 139 + 149 + 159 + 169 + 219 + 229 + 319 + 329 + 791 + 892</t>
  </si>
  <si>
    <t>711 + 731 + 741 + 761 + 771</t>
  </si>
  <si>
    <t>721 + 781</t>
  </si>
  <si>
    <t>411 + 421 + 422 + 431 + 451 + 461 + 471 + 491</t>
  </si>
  <si>
    <t>511 + 521 + 531 + 541 + 551 + 561 + 562 + 591</t>
  </si>
  <si>
    <t>581 + 671</t>
  </si>
  <si>
    <t>611 + 621 + 631 + 641 + 681</t>
  </si>
  <si>
    <t>481 + 571 + 572 + 691</t>
  </si>
  <si>
    <t>911 + 982</t>
  </si>
  <si>
    <t>921 + 922</t>
  </si>
  <si>
    <t>931 + 941 + 942 + 981 + 991</t>
  </si>
  <si>
    <t>822 + 932</t>
  </si>
  <si>
    <t>811 + 813 + 832</t>
  </si>
  <si>
    <t>814 + 951</t>
  </si>
  <si>
    <t>852 + 853</t>
  </si>
  <si>
    <t>821 + 831 + 841 + 851 + 861 + 862 + 863 + 871 + 891 + 961</t>
  </si>
  <si>
    <t>651 + 661 + 812 + 971</t>
  </si>
  <si>
    <t>employment activities + family business + unclassified paid work</t>
  </si>
  <si>
    <t>travel related to paid work + travel related to learning &amp; training</t>
  </si>
  <si>
    <t>learning &amp; training</t>
  </si>
  <si>
    <t>preparing food &amp; clean-up + cleaning + laundry + pet care + repair &amp; maintenance + household management + unclassified housework + unclassified unpaid work</t>
  </si>
  <si>
    <t>purchase of goods &amp; services</t>
  </si>
  <si>
    <t>care of family members</t>
  </si>
  <si>
    <t>care of non-family members</t>
  </si>
  <si>
    <t>community services &amp; public service activities</t>
  </si>
  <si>
    <t>travel related to unpaid work</t>
  </si>
  <si>
    <t>health activities + travel + unclassified personal activities</t>
  </si>
  <si>
    <t>go out to visit</t>
  </si>
  <si>
    <t>social interaction</t>
  </si>
  <si>
    <t>watching TV + listening to the radio</t>
  </si>
  <si>
    <t>reading book + internet + card games + travel + smoking</t>
  </si>
  <si>
    <t>unclassified individual activities</t>
  </si>
  <si>
    <t> </t>
  </si>
  <si>
    <r>
      <rPr>
        <i/>
        <u/>
        <sz val="10"/>
        <color theme="1"/>
        <rFont val="Arial Narrow"/>
        <family val="2"/>
      </rPr>
      <t>Notes</t>
    </r>
    <r>
      <rPr>
        <sz val="10"/>
        <color theme="1"/>
        <rFont val="Arial Narrow"/>
        <family val="2"/>
      </rPr>
      <t>All travel is grouped under "other travelling", except for "travel as part of study" (put under 1.3), "travel from/to employment" (put under 1.2), "travel as a goal" (put under 4.5) As a result, all broad categories (1-4) are underreported in comparison with other countries. There is no category "volunteering", only the group "unclassified" in "civil activities &amp; volunteering" - which according to the manual should contain "work for organisations"</t>
    </r>
  </si>
  <si>
    <r>
      <rPr>
        <i/>
        <u/>
        <sz val="10"/>
        <color theme="1"/>
        <rFont val="Arial Narrow"/>
        <family val="2"/>
      </rPr>
      <t xml:space="preserve">Notes: </t>
    </r>
    <r>
      <rPr>
        <sz val="10"/>
        <color theme="1"/>
        <rFont val="Arial Narrow"/>
        <family val="2"/>
      </rPr>
      <t xml:space="preserve">There are only 26 pre-coded categories for 15 minutes time-slots. This makes </t>
    </r>
  </si>
  <si>
    <t>Australia* (2006, age 15 and plus)</t>
  </si>
  <si>
    <r>
      <rPr>
        <i/>
        <u/>
        <sz val="10"/>
        <color theme="1"/>
        <rFont val="Arial Narrow"/>
        <family val="2"/>
      </rPr>
      <t xml:space="preserve">Notes: </t>
    </r>
    <r>
      <rPr>
        <sz val="10"/>
        <color theme="1"/>
        <rFont val="Arial Narrow"/>
        <family val="2"/>
      </rPr>
      <t xml:space="preserve">There is no category "volunteering", only "community services &amp; public service activities.
The * denotes that time use estimates for China are not fully comparable, due to difference in the age of reference. </t>
    </r>
  </si>
  <si>
    <t>China* (2008, age 15-74)</t>
  </si>
  <si>
    <t>South Africa (2010, 15-64)</t>
  </si>
  <si>
    <t>Care for parents is considered to be "care for household members".  In the Korean TUS there is no distinction between care for hh members vs. non-hh members.  If the parents don't live in the hh, then this type of care would be considered as "care for non-hh members" in other countries!</t>
  </si>
  <si>
    <t>113, 114, 150, 790, 188, 788</t>
  </si>
  <si>
    <t xml:space="preserve">441, 448, 460, 470, 490, 491, 561, 562 , 590, 610, 615, 620, 674, 690 , 488 , 588
</t>
  </si>
  <si>
    <t>Travel related to household care. 
Travel related to shopping. 
Travel related to services. 
Travel escorting a child other than education. 
Travel escorting an adult other than education. 
Travel related to organisational work. 
Travel related to voluntary work and meetings. 
Travel related to informal help to other households.
Unspecified organisational work.  
Work for an organisation.  
Other specified organisational work.</t>
  </si>
  <si>
    <t>1998/99</t>
  </si>
  <si>
    <t>India (1998/99, age 15-64)</t>
  </si>
  <si>
    <t>111, 121</t>
  </si>
  <si>
    <t>380-389</t>
  </si>
  <si>
    <t>391-399</t>
  </si>
  <si>
    <t>300, 421, 422, 429</t>
  </si>
  <si>
    <t>611-619</t>
  </si>
  <si>
    <t>431, 521-523, 525, 529</t>
  </si>
  <si>
    <t>511-519, 713</t>
  </si>
  <si>
    <t>524, 531, 621, 631, 711, 712, 719, 721-819, 950, 960</t>
  </si>
  <si>
    <t>432, 439</t>
  </si>
  <si>
    <t>900, 990, 995-999</t>
  </si>
  <si>
    <t>511, 512, 521,  522, 531, 532</t>
  </si>
  <si>
    <t>540, 550</t>
  </si>
  <si>
    <t>Sweden</t>
  </si>
  <si>
    <t>20-64</t>
  </si>
  <si>
    <t>82, 83</t>
  </si>
  <si>
    <t>31, 321, 322, 329</t>
  </si>
  <si>
    <t>41, 42, 43, 44, 45, 46, 49</t>
    <phoneticPr fontId="0" type="noConversion"/>
  </si>
  <si>
    <t>51, 52, 53, 54, 55, 56, 57</t>
    <phoneticPr fontId="0" type="noConversion"/>
  </si>
  <si>
    <t>84, 85, 87</t>
  </si>
  <si>
    <t>13, 19, 81</t>
  </si>
  <si>
    <t>71, 76</t>
    <phoneticPr fontId="0" type="noConversion"/>
  </si>
  <si>
    <t>724, 725, 726, 727</t>
    <phoneticPr fontId="0" type="noConversion"/>
  </si>
  <si>
    <t>721, 722, 723, 728, 729, 79, 88</t>
  </si>
  <si>
    <t>73, 61</t>
  </si>
  <si>
    <t>91, 891</t>
  </si>
  <si>
    <t>1100-1120; 1190; 1200</t>
  </si>
  <si>
    <t>9100; 9200</t>
  </si>
  <si>
    <t>2000-2110; 2122; 2130</t>
  </si>
  <si>
    <t>1130; 2120; 2121; 2123; 2200; 2210; 2290</t>
  </si>
  <si>
    <t>1000; 1290; 2190</t>
  </si>
  <si>
    <t>3111-3600; 3710-3712</t>
  </si>
  <si>
    <t>3610-3630; 3639; 3690; 3713-3716</t>
  </si>
  <si>
    <t>3800-3890</t>
  </si>
  <si>
    <t>3910-3990</t>
  </si>
  <si>
    <t>4113; 4122; 4210-4290</t>
  </si>
  <si>
    <t>4000-4112</t>
  </si>
  <si>
    <t>9360-9400</t>
  </si>
  <si>
    <t>3000; 3719</t>
  </si>
  <si>
    <t>0110; 0130; 0190</t>
  </si>
  <si>
    <t>0200-0300; 1210</t>
  </si>
  <si>
    <t>0120; 0310-0390; 3631; 3632</t>
  </si>
  <si>
    <t>6000-6310</t>
  </si>
  <si>
    <t>5200-5259; 5261; 5263; 5265; 5290</t>
  </si>
  <si>
    <t>5000-5190; 7230-7239</t>
  </si>
  <si>
    <t>7222; 7223; 7252; 7253; 8210-8320</t>
  </si>
  <si>
    <t xml:space="preserve"> 2220; 3633; 5191; 5260; 5262; 5264; 5266; 5269; 5310; 7000-7221; 7224; 7229; 7250; 7251; 7254-8190; 9500; 9600;</t>
  </si>
  <si>
    <t>4117; 4300-4390</t>
  </si>
  <si>
    <t>9000; 9800-9990</t>
  </si>
  <si>
    <t xml:space="preserve">Working time in main and second job (including short breaks, lunch breaks) </t>
  </si>
  <si>
    <t>travel to/from work; travel study</t>
  </si>
  <si>
    <t>housekeeping; maintenance</t>
  </si>
  <si>
    <t>Shopping/purchases</t>
  </si>
  <si>
    <t>caring for children</t>
  </si>
  <si>
    <t xml:space="preserve"> caring for others</t>
  </si>
  <si>
    <t>sleeping; nap</t>
  </si>
  <si>
    <t>sickness; personal hygiene; saune/solarium; otherpersonal care; travel for personal care</t>
  </si>
  <si>
    <t>association; entertainment</t>
  </si>
  <si>
    <t>reading; hobbies; other free time; travel related to free time</t>
  </si>
  <si>
    <t>other</t>
  </si>
  <si>
    <t>Sweden (2010, age 15-64)</t>
  </si>
  <si>
    <t>111-129</t>
  </si>
  <si>
    <t>910-920</t>
  </si>
  <si>
    <t>212-221</t>
  </si>
  <si>
    <t>311-359; 371</t>
  </si>
  <si>
    <t>361-369</t>
  </si>
  <si>
    <t>381-389; 423</t>
  </si>
  <si>
    <t>424-425</t>
  </si>
  <si>
    <t>411-423; 429</t>
  </si>
  <si>
    <t>936-940</t>
  </si>
  <si>
    <t>31-39; 12</t>
  </si>
  <si>
    <t>611-631</t>
  </si>
  <si>
    <t>521-529</t>
  </si>
  <si>
    <t>511-519</t>
  </si>
  <si>
    <t>821-831; 950-690; 531; 998</t>
  </si>
  <si>
    <t>711-819</t>
  </si>
  <si>
    <t>431-439</t>
  </si>
  <si>
    <t>980-995; 999</t>
  </si>
  <si>
    <t>Korea (2014, age 15-64)</t>
  </si>
  <si>
    <t>Netherlands (2016 age 15-64)</t>
  </si>
  <si>
    <r>
      <rPr>
        <i/>
        <u/>
        <sz val="10"/>
        <color theme="1"/>
        <rFont val="Arial Narrow"/>
        <family val="2"/>
      </rPr>
      <t>Notes:</t>
    </r>
    <r>
      <rPr>
        <sz val="10"/>
        <color theme="1"/>
        <rFont val="Arial Narrow"/>
        <family val="2"/>
      </rPr>
      <t xml:space="preserve">Estimates are obtained for pre-defined tabulations: the level of aggregation of the tabulation makes the correspondence with the OECD classification less precise. 
</t>
    </r>
  </si>
  <si>
    <t>Luxembourg*</t>
  </si>
  <si>
    <t>The * denotes that time use estimates for individuals aged 15-64 are the weighted average of time use estimates for age brackets 15-19, 20-24, 25-44, 45-64. For each age bracket, time use estimates are weighed by the share of population in that bracket, based on Eurostat population database.</t>
  </si>
  <si>
    <t>Lithuania* **</t>
  </si>
  <si>
    <t>The * denotes that time use estimates for Lithuania are not fully comparable, due to difference in the age of reference. 
The ** denotes that time use estimates for individuals aged 20-64 are the weighted average of time use estimates for age brackets 20-24, 25-44, 45-64. For each age bracket, time use estimates are weighed by the share of population in that bracket, based on Eurostat population database.</t>
  </si>
  <si>
    <t>TOTAL</t>
  </si>
  <si>
    <t>Average minutes spent in different activities (both weekdays and weekends), age 15-64</t>
  </si>
  <si>
    <t>MEN &amp; WOMEN</t>
  </si>
  <si>
    <t>Australia</t>
  </si>
  <si>
    <t>Belgium</t>
  </si>
  <si>
    <t xml:space="preserve">France </t>
  </si>
  <si>
    <t>Hungary</t>
  </si>
  <si>
    <t>Italy</t>
  </si>
  <si>
    <t>Norway</t>
  </si>
  <si>
    <t>Poland</t>
  </si>
  <si>
    <t>United Kingdom</t>
  </si>
  <si>
    <t>United States</t>
  </si>
  <si>
    <t>China</t>
  </si>
  <si>
    <t xml:space="preserve">REFERENCE AGE: </t>
  </si>
  <si>
    <t>15+ !!</t>
  </si>
  <si>
    <t>15-74 !!</t>
  </si>
  <si>
    <t>Provisional. see note in sheet 'Activity Category'</t>
  </si>
  <si>
    <t>Note: OECD estimates based on national time use surveys. Methodological documentation on national time-use surveys used for the estimates is in Miranda V. (2011) "Cooking, Caring and Volunteering: Unpaid Work Around the World", Miranda, V. (2011), "Cookin</t>
  </si>
  <si>
    <t>Data are normalized to 1440 minutes per day. In other words, for those countries for which the time use does not sum up to 1440 minutes, the missing minutes are equally distributed across all activities</t>
  </si>
  <si>
    <t>MEN</t>
  </si>
  <si>
    <t>Average minutes spent per day in different activities (both weekdays and weekends) - MEN aged 15-64</t>
  </si>
  <si>
    <t>OECD Codes</t>
  </si>
  <si>
    <t>OECD Activity categories</t>
  </si>
  <si>
    <t>REFERENCE AGE:</t>
  </si>
  <si>
    <t>WOMEN</t>
  </si>
  <si>
    <t>Average minutes spent per day in different activities (both weekends and weekdays) - WOMEN Aged 15-64</t>
  </si>
  <si>
    <t>1999/2000</t>
  </si>
  <si>
    <t>2005/06</t>
  </si>
  <si>
    <t>10+ !!</t>
  </si>
  <si>
    <t>12+ !!</t>
  </si>
  <si>
    <t>(see note)</t>
  </si>
  <si>
    <t>(incl. In 1.1)</t>
  </si>
  <si>
    <t>Greece</t>
  </si>
  <si>
    <t>Notes: Activity 4.4 TV or radio at home also includes reading newspaper or magazines.Activity 5.2 Other also includes all transport time (except commuting to work), which is 30 minutes for all the population (15-64), 28 minutes for men (15-64), and 33 minutes for women (15-64).</t>
  </si>
  <si>
    <t xml:space="preserve">Notes: Activity 5.2 Other includes also all transport time.The * denotes that time use estimates for Turkey are not fully comparable, due to difference in the age of reference. </t>
  </si>
  <si>
    <t xml:space="preserve">Notes: Activity 5.2 Other includes only all transport time (except commuting to work). The * denotes that time use estimates for Poland are not fully comparable, due to difference in the age of reference. </t>
  </si>
  <si>
    <t>socialising + talking (including phone) &amp; writing/reading own correspondance</t>
  </si>
  <si>
    <t>associated travel (leisure) + recreation &amp; leisure + games/hobbies/arts/crafts + other free time + travel</t>
  </si>
  <si>
    <t>Estonia*</t>
  </si>
  <si>
    <t>25-64 !!</t>
  </si>
  <si>
    <t>Source</t>
  </si>
  <si>
    <t>How Australians Use Their Time</t>
  </si>
  <si>
    <t xml:space="preserve">Zeitverwendungserhebung </t>
  </si>
  <si>
    <t xml:space="preserve">General Social Survey </t>
  </si>
  <si>
    <t xml:space="preserve">Befolkningens tidsanvendelse </t>
  </si>
  <si>
    <t xml:space="preserve"> Ajankäyttötutkimus</t>
  </si>
  <si>
    <t>Enquête Emloi du Temps et Décisions dans les Couples</t>
  </si>
  <si>
    <t xml:space="preserve"> Zeitverwendungserhebung</t>
  </si>
  <si>
    <t>The Irish National Time-Use Survey</t>
  </si>
  <si>
    <t>Inchiesta sull’Uso del Tempo</t>
  </si>
  <si>
    <t>Survey on Time Use and Leisure Activities</t>
  </si>
  <si>
    <t>Time Use Survey</t>
  </si>
  <si>
    <t>Tijdsbestedingsonderzoek</t>
  </si>
  <si>
    <t xml:space="preserve">Time Use Survey </t>
  </si>
  <si>
    <t>Tidsbruksundersøkelsen</t>
  </si>
  <si>
    <t xml:space="preserve">Uso do tempo </t>
  </si>
  <si>
    <t>Encuesta de Empleo del Tiempo</t>
  </si>
  <si>
    <t>Tidsanvändningsundersökningen</t>
  </si>
  <si>
    <t>Zaman Kullanim Arastirmasi</t>
  </si>
  <si>
    <t>UK Time Use Survey</t>
  </si>
  <si>
    <t>American Time Use Survey</t>
  </si>
  <si>
    <t>A Survey of Time Use</t>
  </si>
  <si>
    <t>8 March 2020: New data are available for the United States (2018). Data for Australia (2006), Ireland (2005) and Mexico (2014) have been revised.</t>
  </si>
  <si>
    <t xml:space="preserve"> Activity categories &amp; sources</t>
  </si>
  <si>
    <t>Please visit the OECD Gender Data Portal on www.oecd.org/gender for more indicators on gender.</t>
  </si>
  <si>
    <t>Mexico*</t>
  </si>
  <si>
    <t xml:space="preserve">The * denotes that time use estimates for Mexico are not fully comparable, due to methodological differences. </t>
  </si>
  <si>
    <t xml:space="preserve">Time use estimates for Mexico are not fully comparable, due to methodological differences. </t>
  </si>
  <si>
    <t xml:space="preserve">8 March 2021: New data are available for the United States (2019). </t>
  </si>
  <si>
    <t>-</t>
  </si>
  <si>
    <t>Notes: Activity 4.4 TV or radio at home also includes reading newspaper or magazines.Activity 5.2 Other also includes all transport time (except commuting to work), which is 30 minutes for all the population (15-64), 28 minutes for men (15-64), and 32 minutes for women (15-64).</t>
  </si>
  <si>
    <r>
      <rPr>
        <i/>
        <u/>
        <sz val="8"/>
        <color rgb="FFFF0000"/>
        <rFont val="Arial"/>
        <family val="2"/>
      </rPr>
      <t>Notes:</t>
    </r>
    <r>
      <rPr>
        <sz val="8"/>
        <color rgb="FFFF0000"/>
        <rFont val="Arial"/>
        <family val="2"/>
      </rPr>
      <t xml:space="preserve"> Activity 4.4 TV or radio at home also includes reading newspaper or magazines.Activity 5.2 Other also includes all transport time (except commuting to work), which is 30 minutes for all the population (15-64), 28 minutes for men (15-64), and 32 minutes for women (15-64).</t>
    </r>
  </si>
  <si>
    <r>
      <rPr>
        <i/>
        <u/>
        <sz val="8"/>
        <color rgb="FFFF0000"/>
        <rFont val="Arial"/>
        <family val="2"/>
      </rPr>
      <t>Notes:</t>
    </r>
    <r>
      <rPr>
        <i/>
        <sz val="8"/>
        <color indexed="10"/>
        <rFont val="Arial"/>
        <family val="2"/>
      </rPr>
      <t xml:space="preserve"> Activity 4.4 TV or radio at home also includes reading newspaper or magazines.Activity 5.2 Other also includes all transport time (except commuting to work), which is 30 minutes for all the population (15-64), 28 minutes for men (15-64), and 32 minutes for women (15-64).</t>
    </r>
  </si>
  <si>
    <t>2021/22</t>
  </si>
  <si>
    <t>211, 214, 215</t>
  </si>
  <si>
    <t>213, 219, 221</t>
  </si>
  <si>
    <t>300, 311, 312, 313, 321, 322, 323, 324, 325, 329, 331, 332, 339, 341, 342, 343, 344, 349, 351, 352, 353, 354, 359,371</t>
  </si>
  <si>
    <t>361, 362, 369</t>
  </si>
  <si>
    <t>381, 382, 383, 384, 389</t>
  </si>
  <si>
    <t>391, 392</t>
  </si>
  <si>
    <t>423, 423, 425</t>
  </si>
  <si>
    <t>421, 422, 429</t>
  </si>
  <si>
    <t>936, 938, 939</t>
  </si>
  <si>
    <t>011, 012</t>
  </si>
  <si>
    <t>021</t>
  </si>
  <si>
    <t>031, 032, 039, 900</t>
  </si>
  <si>
    <t>611, 612, 613, 614, 615, 616, 619, 621, 631</t>
  </si>
  <si>
    <t>521, 522, 523, 524, 525, 526, 529</t>
  </si>
  <si>
    <t>512, 519</t>
  </si>
  <si>
    <t>511, 513, 514, 515, 516, 960, 950, 998, 811, 812, 531, 711, 712, 713, 719, 721, 722, 729, 731, 732, 733, 734, 735, 739</t>
  </si>
  <si>
    <t>431, 432, 433, 439</t>
  </si>
  <si>
    <t>980, 995, 999</t>
  </si>
  <si>
    <t>Austria (2021/22, age 15-64)</t>
  </si>
  <si>
    <t>United Kingdom (2014/15, age 15-64)</t>
  </si>
  <si>
    <t>0501</t>
  </si>
  <si>
    <t>1805, 1806</t>
  </si>
  <si>
    <t>0601</t>
  </si>
  <si>
    <t>0502, 0503, 0599, 0602, 0604, 0699</t>
  </si>
  <si>
    <t>02</t>
  </si>
  <si>
    <t>07</t>
  </si>
  <si>
    <t>0304-0305</t>
  </si>
  <si>
    <t>04</t>
  </si>
  <si>
    <t>1802, 1807, 1803, 1804, 1815, 1809, 180801-03, 180806-99</t>
  </si>
  <si>
    <t>0801-03, 0806-99, 09</t>
  </si>
  <si>
    <t>11</t>
  </si>
  <si>
    <t>0102-05, 0199, 0804, 0805, 1801, 1811, 180804, 180805</t>
  </si>
  <si>
    <t>1204, 120504, 1302, 130302, 130402</t>
  </si>
  <si>
    <t>1201, 1202, 120501, 120502</t>
  </si>
  <si>
    <t>120303-05</t>
  </si>
  <si>
    <t>120301, 120302, 120503, 120599,  120306-13, 120399, 129999, 130399, 130499, 139999, 1812, 1813</t>
  </si>
  <si>
    <t xml:space="preserve">10, 14, 1810,1814 </t>
  </si>
  <si>
    <t>residual - adds up to 24 hours</t>
  </si>
  <si>
    <t>12 June 2024: New data are available for Austria (2021/22), Japan (2021) and the United States (2022).</t>
  </si>
  <si>
    <t>8 March 2019: New data are available for Hungary (2010), Korea (2014), Lithuania (2003), Luxembourg (2013), the Netherlands (2016), Sweden (2010) and the United States (2017). Data for Belgium (2013), Greece (2013), Poland (2013) and Türkiye (2014/15) have been revised.</t>
  </si>
  <si>
    <t>Türkiye</t>
  </si>
  <si>
    <t>Türkiye (2014/15, age 15-64e)</t>
  </si>
  <si>
    <t>5.Work and 14. Learning, self_x0002_education and training (except for schoolwork)</t>
  </si>
  <si>
    <t>4.Commuting to and from school or work</t>
  </si>
  <si>
    <t>6.Schoolwork</t>
  </si>
  <si>
    <t>7.Housework</t>
  </si>
  <si>
    <t>10.Shopping</t>
  </si>
  <si>
    <t>9.Child care</t>
  </si>
  <si>
    <t>8."Caring or nursing"</t>
  </si>
  <si>
    <t>17.Volunteer and social activities</t>
  </si>
  <si>
    <t>1.Sleep</t>
  </si>
  <si>
    <t>3.Meals</t>
  </si>
  <si>
    <t>2.Personal care and  19.Medical examination or treatment</t>
  </si>
  <si>
    <t>16.Sports</t>
  </si>
  <si>
    <t>18.Social life</t>
  </si>
  <si>
    <t>12."Watching TV, listening to the radio, reading newspapers or magazines"</t>
  </si>
  <si>
    <t>13."Rest and relaxation" and 15."Hobbies and amusements"</t>
  </si>
  <si>
    <t>20."Other activities" and 11. "Moving (excluding commuting)"</t>
  </si>
  <si>
    <r>
      <rPr>
        <i/>
        <u/>
        <sz val="10"/>
        <color theme="1"/>
        <rFont val="Arial Narrow"/>
        <family val="2"/>
      </rPr>
      <t>Notes:</t>
    </r>
    <r>
      <rPr>
        <sz val="10"/>
        <color theme="1"/>
        <rFont val="Arial Narrow"/>
        <family val="2"/>
      </rPr>
      <t xml:space="preserve"> Activity </t>
    </r>
    <r>
      <rPr>
        <i/>
        <sz val="10"/>
        <color theme="1"/>
        <rFont val="Arial Narrow"/>
        <family val="2"/>
      </rPr>
      <t>4.4</t>
    </r>
    <r>
      <rPr>
        <sz val="10"/>
        <color theme="1"/>
        <rFont val="Arial Narrow"/>
        <family val="2"/>
      </rPr>
      <t> </t>
    </r>
    <r>
      <rPr>
        <i/>
        <sz val="10"/>
        <color theme="1"/>
        <rFont val="Arial Narrow"/>
        <family val="2"/>
      </rPr>
      <t xml:space="preserve">TV or radio at home </t>
    </r>
    <r>
      <rPr>
        <sz val="10"/>
        <color theme="1"/>
        <rFont val="Arial Narrow"/>
        <family val="2"/>
      </rPr>
      <t xml:space="preserve">also includes reading </t>
    </r>
    <r>
      <rPr>
        <i/>
        <sz val="10"/>
        <color theme="1"/>
        <rFont val="Arial Narrow"/>
        <family val="2"/>
      </rPr>
      <t xml:space="preserve">newspaper or magazines. </t>
    </r>
    <r>
      <rPr>
        <sz val="10"/>
        <color theme="1"/>
        <rFont val="Arial Narrow"/>
        <family val="2"/>
      </rPr>
      <t xml:space="preserve">Activity </t>
    </r>
    <r>
      <rPr>
        <i/>
        <sz val="10"/>
        <color theme="1"/>
        <rFont val="Arial Narrow"/>
        <family val="2"/>
      </rPr>
      <t>5.2 Other</t>
    </r>
    <r>
      <rPr>
        <sz val="10"/>
        <color theme="1"/>
        <rFont val="Arial Narrow"/>
        <family val="2"/>
      </rPr>
      <t xml:space="preserve"> also includes all transport time, except commuting to work. </t>
    </r>
  </si>
  <si>
    <r>
      <rPr>
        <u/>
        <sz val="8"/>
        <color theme="1"/>
        <rFont val="Arial"/>
        <family val="2"/>
      </rPr>
      <t>Notes:</t>
    </r>
    <r>
      <rPr>
        <sz val="8"/>
        <color theme="1"/>
        <rFont val="Arial"/>
        <family val="2"/>
      </rPr>
      <t xml:space="preserve"> Activity 4.4 TV or radio at home also includes reading newspaper or magazines. Activity 5.2 Other also includes all transport time, except commuting to work.</t>
    </r>
  </si>
  <si>
    <t>for a top-level overview of the data</t>
  </si>
  <si>
    <t>OECD Time Use Database</t>
  </si>
  <si>
    <t>Croatia</t>
  </si>
  <si>
    <t>2022/23</t>
  </si>
  <si>
    <t>2022</t>
  </si>
  <si>
    <t>2023</t>
  </si>
  <si>
    <t>2024</t>
  </si>
  <si>
    <t>Harmonised European Time Use Survey (2000/2010, ACL00 classification)</t>
  </si>
  <si>
    <t>HETUS Activity Categories (Bulgaria, Germany, Estonia, Finland, Norway)</t>
  </si>
  <si>
    <t>Harmonised European Time Use Survey 2020</t>
  </si>
  <si>
    <t>Employment</t>
  </si>
  <si>
    <t>Travel to/from work
Travel related to study</t>
  </si>
  <si>
    <t>School or university except homework
Free time study</t>
  </si>
  <si>
    <t>Homework</t>
  </si>
  <si>
    <t>Not available</t>
  </si>
  <si>
    <t>Household management and unspecified household and family care
Food management except dish washing
Dish washing
Household upkeep except cleaning dwelling
Cleaning dwelling
Care for textiles
Gardening and pet care
Construction and repairs</t>
  </si>
  <si>
    <t>Shopping and services</t>
  </si>
  <si>
    <t>Childcare, except teaching, reading, playing and talking
Teaching, reading, playing and talking with child</t>
  </si>
  <si>
    <t>Help to an adult household member</t>
  </si>
  <si>
    <t>Voluntary work and meetings</t>
  </si>
  <si>
    <t>Travel related to shopping and services
Travel related to childcare and to other household care</t>
  </si>
  <si>
    <t>Sleeping</t>
  </si>
  <si>
    <t>Eating</t>
  </si>
  <si>
    <t>Other personal care</t>
  </si>
  <si>
    <t>Sports and outdoor activities except walking and hiking
Walking and hiking</t>
  </si>
  <si>
    <t>Entertainment and culture</t>
  </si>
  <si>
    <t>Socialising with family
Socialising with others (visits, celebrations and other)
Virtual social life</t>
  </si>
  <si>
    <t xml:space="preserve">Watching TV, video or DVD
Listening to radio or recordings
</t>
  </si>
  <si>
    <t>Resting - time out
Arts and hobbies (except making handicraft products), and games (except computer, console, mobile games)
Computing
Computer games, console games (on home console) and mobile games (on handheld device/ smartphone)
Reading, except reading books
Reading books</t>
  </si>
  <si>
    <t>Other or unspecified travel purpose
Filling in the time use diary, unspecified leisure time and other unspecified time use</t>
  </si>
  <si>
    <t>For Bulgaria, Germany, Estonia, Finland and Norway, time use estimates for individuals aged 15-64 are the weighted average of time use estimates for age brackets five-years age brackets, starting from 15-19, until 60-64. For each age bracket, time use estimates are weighed by the share of population in that bracket, based on data from each countries national statistical institutes' population figures.</t>
  </si>
  <si>
    <t>For Belgium, Greece, Hungary, Lithuania, Luxembourg, and Poland, time use estimates for individuals aged 15-64 (20-64 for Lithuania) are the weighted average of time use estimates for age brackets 15-19, 20-24, 25-44, 45-64. For each age bracket, time use estimates are weighed by the share of population in that bracket, based on Eurostat population database (note that data for people aged 15-19 are not available for Lithuania.</t>
  </si>
  <si>
    <t>Croatia (2022/23, 15-64)</t>
  </si>
  <si>
    <t>111; 121</t>
  </si>
  <si>
    <t>910; 920</t>
  </si>
  <si>
    <t>211; 213; 214</t>
  </si>
  <si>
    <t>215; 219; 221</t>
  </si>
  <si>
    <t>300; 311; 312; 313; 321; 322; 323; 324; 325; 331; 332</t>
  </si>
  <si>
    <t>361; 362; 369</t>
  </si>
  <si>
    <t>381; 382; 383; 384; 389; 391; 392</t>
  </si>
  <si>
    <t>423; 424; 425</t>
  </si>
  <si>
    <t>936; 938; 939</t>
  </si>
  <si>
    <t>329; 339; 341; 342; 343; 344; 349; 351; 352; 353; 354; 359; 371; 421; 422; 429</t>
  </si>
  <si>
    <t>011; </t>
  </si>
  <si>
    <t>031; 032; 039; 012</t>
  </si>
  <si>
    <t>611; 612; 613; 614; 615; 616; 619; 621; 631</t>
  </si>
  <si>
    <t xml:space="preserve">521; 522; 523; 524; 525; 526; 529; </t>
  </si>
  <si>
    <t>511; 512; 513; 514; 515; 516</t>
  </si>
  <si>
    <t>821; 831</t>
  </si>
  <si>
    <t>531; 711; 712; 713; 719; 721; 722; 729; 731; 732; 733; 734; 735; 739; 811; 812; 819; 950; 960</t>
  </si>
  <si>
    <t>431; 432; 433; 439; 940</t>
  </si>
  <si>
    <t>900; 980; 995; 998; 999</t>
  </si>
  <si>
    <t>Poland (2023, age 15-64)</t>
  </si>
  <si>
    <t>Time use survey</t>
  </si>
  <si>
    <t>1</t>
  </si>
  <si>
    <t>910+920</t>
  </si>
  <si>
    <t>211+213+214+215+219</t>
  </si>
  <si>
    <t>there are no values</t>
  </si>
  <si>
    <t>30+31+32+33+34+35+37</t>
  </si>
  <si>
    <t>936+938+939+9401</t>
  </si>
  <si>
    <t>there are no such codes</t>
  </si>
  <si>
    <t>01</t>
  </si>
  <si>
    <t>03</t>
  </si>
  <si>
    <t>61+63</t>
  </si>
  <si>
    <t>82+83</t>
  </si>
  <si>
    <t>53+62+7+81</t>
  </si>
  <si>
    <t>43</t>
  </si>
  <si>
    <t>9409+950+960+980+900+995</t>
  </si>
  <si>
    <t>Canada (2022, age 15-64)</t>
  </si>
  <si>
    <t>501 - Paid work
502 - Paid training
504 - Selling of goods or services for pay or profit
505 - Other income generating activities</t>
  </si>
  <si>
    <t>407 - Travel to or from paid work activities
408 - Travel to or from studying or learning activities</t>
  </si>
  <si>
    <t>601 - Schooling full time or part time - on site
602 - Schooling full time or part time - online</t>
  </si>
  <si>
    <t>603 - Homework, studying or being tutored</t>
  </si>
  <si>
    <t>506 - Looking for work</t>
  </si>
  <si>
    <t>503 - Waiting or idle time related to paid work activities
604 - Self development, leisure or special interest classes
153 - Break or lunch related to paid work activities
154 - Break or lunch related to studying or learning
599 -  Paid work activities, unspecified
699 - Studying or learning, unspecified</t>
  </si>
  <si>
    <t>201 - Preparing or serving meals or snacks
202 - Food (or meal) cleanup, dish washing
203 - Preserving foods
204 - Unpacking groceries
205 - Indoor house cleaning, tidying, care of house plants
206 - Taking out garbage, recycling, compost, unpacking of goods
207 - Laundry, mending, ironing, shoe care, etc.
208 - Organizing, planning, paying bills, managing mail
209 - Pet care</t>
  </si>
  <si>
    <t>130 - Receiving personal care from other personal care providers
261 - In-person shopping for goods
262 - In-person shopping for services
263 - Online shopping for goods or services
264 - Researching for purchasing goods or services
269 - Shopping, unspecified</t>
  </si>
  <si>
    <t>301 - Childcare (&lt;15) (hhld. or fam.): Personal care
302 - Childcare (&lt;15) (hhld. or fam.): Read, play, talk
303 - Childcare (&lt;15) (hhld. or fam.): Educational
304 - Childcare (&lt;15) (hhld. or fam.): Accompanying
305 - Childcare (15-17) (hhld. or fam.): Personal care
306 - Childcare (15-17) (hhld. or fam.): Educational
307 - Childcare (15-17) (hhld. or fam.): Accompanying
399 - Care of children (&lt;18) (hhld. or family), unspecified</t>
  </si>
  <si>
    <t>351 - Adult care (18+) (hhld. or fam.): Personal care
352 - Adult care (18+) (hhld. or fam.): Accompanying
353 - Adult care (18+) (hhld. or fam.): Household chores
359 - Care of adults (18+) (hhld. or family), unspecified</t>
  </si>
  <si>
    <t>801 - Unpaid help (other hhlds, non-fam) - childcare (&lt;18)
802 - Unpaid help (other hhlds, non-fam) - caring for an adult
803 - Unpaid help (other hhlds, non-fam) - doing chores</t>
  </si>
  <si>
    <t>804 - Unpaid work in enterprises owned by other households
805 - Unpaid coaching or administering sports
806 - Organization-based volunteering (unpaid, non-compulsory)
807 - Unpaid work aimed at improving the community
808 - Unpaid work required by school, employer, court or other</t>
  </si>
  <si>
    <t>402 - Travel related to caring for children (&lt;18) (hhld. or fam.)
403 - Travel related to caring for adults (18+) (hhld. or fam.)
405 - Travel related to regular household tasks
406 - Travel related to occasional household tasks
409 - Travel to or from shopping
411 - Travel to or from informal or org.-based volunteering</t>
  </si>
  <si>
    <t>231 - Sewing clothes (for self or hhld. or fam.)
232 - Interior do-it-yourself improvement, maintenance
233 - Installation, servicing or repair of household goods
234 - Packing or unpacking for a trip or camping
235 - Packing or unpacking for a move of the household
236 - Outdoor cleaning
237 - Exterior D.I.Y. improvement, maintenance, home repair
238 - Do-it-yourself construction
239 - Vehicle maintenance or repairs
240 - Harvesting, stacking or cutting firewood
241 - Gardening, raising animals, etc., for hhld. use
299 - Unpaid household work (hhld. or family), unspecified
899 - Unpaid work not for own household, unspecified</t>
  </si>
  <si>
    <t>101 - Essential sleep (night or day)
102 - Sleeplessness, insomnia
103 - Naps, lying down, resting, relaxing
104 - Sick in bed, bed or rehabilitative rest, convalescence
109 - Sleep/relaxing/bed rest, unspecified</t>
  </si>
  <si>
    <t>151 - Eating
152 - Drinking other than with meals or snacks
159 - Eating or drinking, unspecified</t>
  </si>
  <si>
    <t>126 - Personal care
127 - Self-administered medical care
128 - Health professional visit, consultation
129 - Receiving personal care from another household member
199 - Own personal care, unspecified
401 - Travel to or from receiving personal care</t>
  </si>
  <si>
    <t>1001 - Exercising
1002 - Organized recreational sports
1003 - Competitive sports for elite or promising athletes
1004 - Outdoor sports (non-competitive)
1005 - Other sports activities
1099 - Sports participation and physical exercise, unspecified</t>
  </si>
  <si>
    <t>1101 - Attending cinema
1102 - Attending a concert or live entertainment event
1103 - Attending sporting events
1104 - Museums, galleries, zoos, observatories, amusement parks</t>
  </si>
  <si>
    <t>701 - Socializing or communicating - in person
702 - Socializing or communicating - using any type of technology
799 - Socializing or communicating, unspecified</t>
  </si>
  <si>
    <t>1202 - Watching television
1203 - Listening to music, radio or podcasts</t>
  </si>
  <si>
    <t>1105 - Arts, hobbies or playing games
1106 - Leisure or outdoor activities
1199 - Culture, hobbies, leisure, outdoor activities, unspecified
1201 - Reading
1204 - Use of technology
1299 - Mass media activities, unspecified</t>
  </si>
  <si>
    <t>901  - Socializing or communicating, unspecified
902 - Civic participation (voting, jury duty)
903 - Religious practices
999 - Civic, religious or community activities, unspecified</t>
  </si>
  <si>
    <t>1301 - Waiting time
1302 - Free time, thinking, smoking
1303 - Doing nothing
1304 - Other activities
404 - Travel to or from eating or drinking
410 - Travel to or from socializing or communicating activities
412 - Travel to or from civic/religious/community activities
413 - Travel to or from sports participation or physical exerise
414 - Travel to or from culture or sports events
415 - Travel to or from hobbies, leisure, outdoor activities
416 - Travel related to mass media activities
499 - Travel, unspecified
9999 - Activity unspecified</t>
  </si>
  <si>
    <t>United States (2024, age 15-64)</t>
  </si>
  <si>
    <t>2020</t>
  </si>
  <si>
    <t>2019/21</t>
  </si>
  <si>
    <t>2020/21</t>
  </si>
  <si>
    <t>The * denotes, time use estimates for individuals aged 15-64 are the weighted average of time use estimates for  five-years age brackets, starting from 15-19, until 60-64. For each age bracket, time use estimates are weighed by the share of population in that bracket, based on data from the country's national statistical institutes' population figures.</t>
  </si>
  <si>
    <t>Finland*</t>
  </si>
  <si>
    <t>Germany*</t>
  </si>
  <si>
    <t>Norway*</t>
  </si>
  <si>
    <t>Bulgaria*</t>
  </si>
  <si>
    <t>Greece (2013/14, age 15-64)</t>
  </si>
  <si>
    <t>HETUS Activity Categories (Belgium, Hungary, Latvia, Lithuania, Luxembourg, Slovenia)</t>
  </si>
  <si>
    <t>21,23,24</t>
  </si>
  <si>
    <t>30,31,32,33,34,35,37</t>
  </si>
  <si>
    <t>61.,62,,63</t>
  </si>
  <si>
    <t>2013/14</t>
  </si>
  <si>
    <t>30 April 2026: New data are available for Bulgaria (new, 2020), Canada (2022), Croatia (new, 2022/23), Germany (2022), Greece (2013/2014, revised), Estonia (2019/21), Finland (2020/21), Mexico (2024), Norway (2022), Poland (2023), and the United States (2024).</t>
  </si>
  <si>
    <t>5.8.1, 5.8.2</t>
  </si>
  <si>
    <t>5.9, 6.2.3</t>
  </si>
  <si>
    <t>6.2.1.1, 6.2.1.2</t>
  </si>
  <si>
    <t>6.2.2</t>
  </si>
  <si>
    <t>5.12</t>
  </si>
  <si>
    <t>6.3.1, 6.3.2, 6.3.3, 6.3.4, 6.3.5, 6.3.6, 6.3.7, 6.3.8, 6.3.9, 6.4.1, 6.4.2, 6.4.3, 6.4.4, 6.5.1, 6.5.2, 6.5.3, 6.5.4, 6.5.5, 6.6.1, 6.6.2, 6.6.3, 6.6.4, 6.6.5, 6.7.1, 6.7.2, 6.7.3, 6.7.4, 6.9.1, 6.9.2, 6.9.3, 6.10.2, 6.10.5, 6.10.6, 6.10.7</t>
  </si>
  <si>
    <t>6.8.1, 6.8.2, 6.8.3</t>
  </si>
  <si>
    <t>6.12.1, 6.12.2, 6.12.3, 6.12.4, 6.12.6, 6.12.7, 6.12.8, 6.12.10, 6.12.11, 6.12.12, 6.13.1, 6.13.3, 6.13.4, 6.13.5, 6.13.7, 6.13.8, 6.13.9</t>
  </si>
  <si>
    <t>6.14.1, 6.14.2, 6.14.4, 6.14.6, 6.15.1, 6.15.2, 6.15.6, 6.15.7</t>
  </si>
  <si>
    <t>6.16.3, 6.16.4, 6.16.5, 6.16.6</t>
  </si>
  <si>
    <t>6.17.1, 6.17.2, 6.17.3</t>
  </si>
  <si>
    <t>6.4.5, 6.10.1, 6.10.3, 6.10.4, 6.11.7, 6.11.10, 6.12.5, 6.12.9, 6.13.2, 6.13.6, 6.14.3, 6.14.5, 6.15.3, 6.15.5</t>
  </si>
  <si>
    <t>6.11.1, 6.11.2, 6.11.3, 6.11.4, 6.11.5, 6.11.6, 6.11.8, 6.11.9, 6.11.11, 6.11.12, 6.11.13, 6.11.14, 6.16.1, 6.16.2</t>
  </si>
  <si>
    <t>6.1.1</t>
  </si>
  <si>
    <t>6.1.2</t>
  </si>
  <si>
    <t>6.1.3, 6.23.2</t>
  </si>
  <si>
    <t>6.18</t>
  </si>
  <si>
    <t>6.20.1, 6.20.2</t>
  </si>
  <si>
    <t>6.21.1, 6.21.4</t>
  </si>
  <si>
    <t>6.22.1, 6.22.2</t>
  </si>
  <si>
    <t>6.19.1, 6.19.2, 6.22.3, 6.22.4, 6.22.5, 6.22.6</t>
  </si>
  <si>
    <t>6.21.2, 6.21.3, 6.23.1</t>
  </si>
  <si>
    <t>6.23.3</t>
  </si>
  <si>
    <t>National Survey on Time Use (Encuesta Nacional sobre Uso del Tiempo, ENUT)</t>
  </si>
  <si>
    <t>Mexico (2024, age 15-64)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</si>
</sst>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7" formatCode="&quot;£&quot;#,##0.00;\-&quot;£&quot;#,##0.00"/>
    <numFmt numFmtId="41" formatCode="_-* #,##0_-;\-* #,##0_-;_-* &quot;-&quot;_-;_-@_-"/>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_(&quot;€&quot;* #,##0.00_);_(&quot;€&quot;* \(#,##0.00\);_(&quot;€&quot;* &quot;-&quot;??_);_(@_)"/>
    <numFmt numFmtId="169" formatCode="0.0"/>
    <numFmt numFmtId="170" formatCode="_-* #,##0.00\ _€_-;\-* #,##0.00\ _€_-;_-* &quot;-&quot;??\ _€_-;_-@_-"/>
    <numFmt numFmtId="171" formatCode="&quot;On&quot;;&quot;On&quot;;&quot;Off&quot;"/>
    <numFmt numFmtId="172" formatCode="#\ ###\ ##0_-;\-#\ ###\ ##0_-;_-0_-;_-@_ "/>
    <numFmt numFmtId="173" formatCode="#,##0.0,_)"/>
    <numFmt numFmtId="174" formatCode="General_)"/>
    <numFmt numFmtId="175" formatCode="#,##0.0"/>
    <numFmt numFmtId="176" formatCode="#,##0.000"/>
    <numFmt numFmtId="177" formatCode="#,##0.00__;\-#,##0.00__;#,##0.00__;@__"/>
    <numFmt numFmtId="178" formatCode="&quot;$&quot;#,##0\ ;\(&quot;$&quot;#,##0\)"/>
    <numFmt numFmtId="179" formatCode="_ * #,##0.00_ ;_ * \-#,##0.00_ ;_ * &quot;-&quot;??_ ;_ @_ "/>
    <numFmt numFmtId="180" formatCode="&quot;$&quot;#,##0_);\(&quot;$&quot;#,##0.0\)"/>
    <numFmt numFmtId="181" formatCode="_-&quot;$&quot;* #,##0_-;\-&quot;$&quot;* #,##0_-;_-&quot;$&quot;* &quot;-&quot;_-;_-@_-"/>
    <numFmt numFmtId="182" formatCode="_-&quot;$&quot;* #,##0.00_-;\-&quot;$&quot;* #,##0.00_-;_-&quot;$&quot;* &quot;-&quot;??_-;_-@_-"/>
    <numFmt numFmtId="183" formatCode="#\ ##0_-;\-#\ ##0_-;_-0_-;_-@_ "/>
    <numFmt numFmtId="184" formatCode="0.00_)"/>
    <numFmt numFmtId="185" formatCode="#,###.00;\-#,###.00"/>
    <numFmt numFmtId="186" formatCode="#,##0.0_____)"/>
    <numFmt numFmtId="187" formatCode="##0.0"/>
    <numFmt numFmtId="188" formatCode="###,000"/>
    <numFmt numFmtId="189" formatCode="_-* #,##0.00\ _k_r_-;\-* #,##0.00\ _k_r_-;_-* &quot;-&quot;??\ _k_r_-;_-@_-"/>
  </numFmts>
  <fonts count="129">
    <font>
      <sz val="10"/>
      <color theme="1"/>
      <name val="Arial"/>
      <family val="2"/>
    </font>
    <font>
      <sz val="10"/>
      <color theme="1"/>
      <name val="Arial"/>
      <family val="2"/>
    </font>
    <font>
      <b/>
      <sz val="10"/>
      <color theme="1"/>
      <name val="Arial"/>
      <family val="2"/>
    </font>
    <font>
      <sz val="10"/>
      <color theme="0"/>
      <name val="Arial"/>
      <family val="2"/>
    </font>
    <font>
      <b/>
      <sz val="8"/>
      <color theme="1"/>
      <name val="Arial"/>
      <family val="2"/>
    </font>
    <font>
      <b/>
      <sz val="8"/>
      <color indexed="8"/>
      <name val="Arial"/>
      <family val="2"/>
    </font>
    <font>
      <sz val="8"/>
      <color indexed="8"/>
      <name val="Arial"/>
      <family val="2"/>
    </font>
    <font>
      <sz val="8"/>
      <name val="Arial"/>
      <family val="2"/>
    </font>
    <font>
      <sz val="8"/>
      <color theme="1"/>
      <name val="Arial"/>
      <family val="2"/>
    </font>
    <font>
      <sz val="10"/>
      <name val="Arial"/>
      <family val="2"/>
    </font>
    <font>
      <u/>
      <sz val="10"/>
      <color theme="10"/>
      <name val="Arial"/>
      <family val="2"/>
    </font>
    <font>
      <sz val="10"/>
      <name val="Arial"/>
      <family val="2"/>
    </font>
    <font>
      <sz val="10"/>
      <color indexed="8"/>
      <name val="Arial"/>
      <family val="2"/>
    </font>
    <font>
      <b/>
      <sz val="10"/>
      <color indexed="8"/>
      <name val="Times New Roman"/>
      <family val="1"/>
    </font>
    <font>
      <sz val="10"/>
      <name val="Times New Roman"/>
      <family val="1"/>
    </font>
    <font>
      <b/>
      <sz val="8"/>
      <name val="Arial"/>
      <family val="2"/>
    </font>
    <font>
      <sz val="10"/>
      <name val="Helvetica"/>
      <family val="2"/>
    </font>
    <font>
      <sz val="10"/>
      <name val="?? ??"/>
      <family val="1"/>
      <charset val="128"/>
    </font>
    <font>
      <u/>
      <sz val="10"/>
      <color indexed="12"/>
      <name val="Arial"/>
      <family val="2"/>
    </font>
    <font>
      <b/>
      <sz val="18"/>
      <color indexed="56"/>
      <name val="Cambria"/>
      <family val="2"/>
    </font>
    <font>
      <u/>
      <sz val="11"/>
      <color indexed="36"/>
      <name val="‚l‚r ‚oƒSƒVƒbƒN"/>
      <family val="3"/>
      <charset val="128"/>
    </font>
    <font>
      <sz val="11"/>
      <name val="‚l‚r ‚oƒSƒVƒbƒN"/>
      <family val="3"/>
      <charset val="128"/>
    </font>
    <font>
      <sz val="11"/>
      <color indexed="8"/>
      <name val="Calibri"/>
      <family val="2"/>
    </font>
    <font>
      <sz val="11"/>
      <color indexed="9"/>
      <name val="Calibri"/>
      <family val="2"/>
    </font>
    <font>
      <sz val="7.5"/>
      <name val="Century Schoolbook"/>
      <family val="1"/>
    </font>
    <font>
      <sz val="11"/>
      <color indexed="10"/>
      <name val="Calibri"/>
      <family val="2"/>
    </font>
    <font>
      <sz val="7"/>
      <name val="Arial"/>
      <family val="2"/>
    </font>
    <font>
      <b/>
      <sz val="8"/>
      <color indexed="8"/>
      <name val="MS Sans Serif"/>
      <family val="2"/>
    </font>
    <font>
      <sz val="11"/>
      <name val="µ¸¿ò"/>
      <charset val="129"/>
    </font>
    <font>
      <sz val="9"/>
      <color indexed="9"/>
      <name val="Times"/>
      <family val="1"/>
    </font>
    <font>
      <b/>
      <sz val="11"/>
      <color indexed="52"/>
      <name val="Calibri"/>
      <family val="2"/>
    </font>
    <font>
      <sz val="11"/>
      <color indexed="52"/>
      <name val="Calibri"/>
      <family val="2"/>
    </font>
    <font>
      <sz val="8"/>
      <color indexed="8"/>
      <name val="MS Sans Serif"/>
      <family val="2"/>
    </font>
    <font>
      <b/>
      <u/>
      <sz val="8.5"/>
      <color indexed="8"/>
      <name val="MS Sans Serif"/>
      <family val="2"/>
    </font>
    <font>
      <b/>
      <sz val="8.5"/>
      <color indexed="12"/>
      <name val="MS Sans Serif"/>
      <family val="2"/>
    </font>
    <font>
      <b/>
      <sz val="8"/>
      <color indexed="12"/>
      <name val="Arial"/>
      <family val="2"/>
    </font>
    <font>
      <sz val="11"/>
      <name val="??"/>
      <family val="3"/>
      <charset val="129"/>
    </font>
    <font>
      <sz val="9"/>
      <color indexed="8"/>
      <name val="Times"/>
      <family val="1"/>
    </font>
    <font>
      <sz val="9"/>
      <name val="Times"/>
      <family val="1"/>
    </font>
    <font>
      <sz val="12"/>
      <color indexed="24"/>
      <name val="Times New Roman"/>
      <family val="1"/>
    </font>
    <font>
      <b/>
      <sz val="9"/>
      <color indexed="9"/>
      <name val="Arial"/>
      <family val="2"/>
    </font>
    <font>
      <sz val="10"/>
      <color indexed="8"/>
      <name val="MS Sans Serif"/>
      <family val="2"/>
    </font>
    <font>
      <sz val="12"/>
      <color indexed="22"/>
      <name val="Arial"/>
      <family val="2"/>
    </font>
    <font>
      <sz val="8"/>
      <name val="Helvetica"/>
      <family val="2"/>
    </font>
    <font>
      <b/>
      <sz val="12"/>
      <color indexed="12"/>
      <name val="Bookman"/>
      <family val="1"/>
    </font>
    <font>
      <b/>
      <i/>
      <u/>
      <sz val="10"/>
      <color indexed="10"/>
      <name val="Bookman"/>
      <family val="1"/>
    </font>
    <font>
      <sz val="11"/>
      <color indexed="62"/>
      <name val="Calibri"/>
      <family val="2"/>
    </font>
    <font>
      <sz val="8.5"/>
      <color indexed="8"/>
      <name val="MS Sans Serif"/>
      <family val="2"/>
    </font>
    <font>
      <sz val="12"/>
      <name val="Arial CE"/>
      <family val="2"/>
      <charset val="238"/>
    </font>
    <font>
      <u/>
      <sz val="11"/>
      <color indexed="12"/>
      <name val="‚l‚r ‚oƒSƒVƒbƒN"/>
      <family val="3"/>
      <charset val="128"/>
    </font>
    <font>
      <vertAlign val="superscript"/>
      <sz val="11"/>
      <name val="Arial"/>
      <family val="2"/>
    </font>
    <font>
      <sz val="10"/>
      <color indexed="8"/>
      <name val="Arial"/>
      <family val="2"/>
      <charset val="238"/>
    </font>
    <font>
      <b/>
      <sz val="12"/>
      <name val="Arial"/>
      <family val="2"/>
    </font>
    <font>
      <b/>
      <sz val="18"/>
      <name val="Arial"/>
      <family val="2"/>
    </font>
    <font>
      <sz val="9"/>
      <name val="Times New Roman"/>
      <family val="1"/>
    </font>
    <font>
      <u/>
      <sz val="10"/>
      <color indexed="36"/>
      <name val="Arial"/>
      <family val="2"/>
    </font>
    <font>
      <sz val="11"/>
      <color indexed="20"/>
      <name val="Calibri"/>
      <family val="2"/>
    </font>
    <font>
      <b/>
      <sz val="10"/>
      <name val="Arial"/>
      <family val="2"/>
    </font>
    <font>
      <b/>
      <sz val="8.5"/>
      <color indexed="8"/>
      <name val="MS Sans Serif"/>
      <family val="2"/>
    </font>
    <font>
      <b/>
      <sz val="18"/>
      <color indexed="22"/>
      <name val="Arial"/>
      <family val="2"/>
    </font>
    <font>
      <b/>
      <sz val="12"/>
      <color indexed="22"/>
      <name val="Arial"/>
      <family val="2"/>
    </font>
    <font>
      <sz val="8"/>
      <name val="Arial"/>
      <family val="2"/>
      <charset val="238"/>
    </font>
    <font>
      <b/>
      <sz val="9"/>
      <name val="Arial"/>
      <family val="2"/>
    </font>
    <font>
      <sz val="26"/>
      <name val="Arial"/>
      <family val="2"/>
    </font>
    <font>
      <sz val="30"/>
      <name val="Arial"/>
      <family val="2"/>
    </font>
    <font>
      <sz val="48"/>
      <name val="Arial"/>
      <family val="2"/>
    </font>
    <font>
      <b/>
      <sz val="100"/>
      <name val="Arial"/>
      <family val="2"/>
    </font>
    <font>
      <sz val="11"/>
      <color indexed="60"/>
      <name val="Calibri"/>
      <family val="2"/>
    </font>
    <font>
      <b/>
      <i/>
      <sz val="16"/>
      <name val="Helv"/>
    </font>
    <font>
      <sz val="10"/>
      <name val="Courier New"/>
      <family val="3"/>
    </font>
    <font>
      <sz val="10"/>
      <name val="Times"/>
      <family val="1"/>
    </font>
    <font>
      <sz val="9"/>
      <name val="Arial"/>
      <family val="2"/>
    </font>
    <font>
      <sz val="10"/>
      <name val="MS Sans Serif"/>
      <family val="2"/>
    </font>
    <font>
      <sz val="10"/>
      <name val="Arial CE"/>
      <charset val="238"/>
    </font>
    <font>
      <sz val="10"/>
      <color indexed="8"/>
      <name val="Times"/>
      <family val="1"/>
    </font>
    <font>
      <sz val="9"/>
      <color indexed="8"/>
      <name val="Arial"/>
      <family val="2"/>
    </font>
    <font>
      <sz val="12"/>
      <name val="Arial CE"/>
      <charset val="238"/>
    </font>
    <font>
      <sz val="11"/>
      <name val="Courier"/>
      <family val="3"/>
    </font>
    <font>
      <b/>
      <u/>
      <sz val="10"/>
      <color indexed="8"/>
      <name val="MS Sans Serif"/>
      <family val="2"/>
    </font>
    <font>
      <sz val="7.5"/>
      <color indexed="8"/>
      <name val="MS Sans Serif"/>
      <family val="2"/>
    </font>
    <font>
      <sz val="11"/>
      <color indexed="17"/>
      <name val="Calibri"/>
      <family val="2"/>
    </font>
    <font>
      <b/>
      <sz val="11"/>
      <color indexed="63"/>
      <name val="Calibri"/>
      <family val="2"/>
    </font>
    <font>
      <i/>
      <sz val="10"/>
      <name val="Arial"/>
      <family val="2"/>
    </font>
    <font>
      <b/>
      <sz val="10"/>
      <color indexed="8"/>
      <name val="MS Sans Serif"/>
      <family val="2"/>
    </font>
    <font>
      <b/>
      <sz val="14"/>
      <name val="Helv"/>
    </font>
    <font>
      <b/>
      <sz val="12"/>
      <name val="Helv"/>
    </font>
    <font>
      <i/>
      <sz val="8"/>
      <name val="Tms Rmn"/>
    </font>
    <font>
      <i/>
      <sz val="11"/>
      <color indexed="23"/>
      <name val="Calibri"/>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1"/>
      <color indexed="8"/>
      <name val="Calibri"/>
      <family val="2"/>
      <charset val="238"/>
    </font>
    <font>
      <sz val="11"/>
      <color indexed="8"/>
      <name val="Czcionka tekstu podstawowego"/>
      <family val="2"/>
    </font>
    <font>
      <sz val="8"/>
      <color indexed="8"/>
      <name val="Calibri"/>
      <family val="2"/>
    </font>
    <font>
      <sz val="10"/>
      <color theme="1"/>
      <name val="Arial Mäori"/>
      <family val="2"/>
    </font>
    <font>
      <sz val="11"/>
      <color theme="1"/>
      <name val="Calibri"/>
      <family val="2"/>
      <scheme val="minor"/>
    </font>
    <font>
      <sz val="11"/>
      <color theme="1"/>
      <name val="Calibri"/>
      <family val="2"/>
      <charset val="238"/>
      <scheme val="minor"/>
    </font>
    <font>
      <sz val="11"/>
      <color theme="1"/>
      <name val="Czcionka tekstu podstawowego"/>
      <family val="2"/>
    </font>
    <font>
      <sz val="8"/>
      <color theme="1"/>
      <name val="Times New Roman"/>
      <family val="1"/>
    </font>
    <font>
      <sz val="10"/>
      <color rgb="FFFFCCCC"/>
      <name val="Arial"/>
      <family val="2"/>
    </font>
    <font>
      <b/>
      <i/>
      <sz val="8"/>
      <color theme="1"/>
      <name val="Arial"/>
      <family val="2"/>
    </font>
    <font>
      <sz val="10"/>
      <color theme="1"/>
      <name val="Arial Narrow"/>
      <family val="2"/>
    </font>
    <font>
      <sz val="10"/>
      <color indexed="8"/>
      <name val="Arial Narrow"/>
      <family val="2"/>
    </font>
    <font>
      <sz val="10"/>
      <name val="Arial Narrow"/>
      <family val="2"/>
    </font>
    <font>
      <b/>
      <sz val="10"/>
      <color indexed="8"/>
      <name val="Arial Narrow"/>
      <family val="2"/>
    </font>
    <font>
      <i/>
      <u/>
      <sz val="10"/>
      <color theme="1"/>
      <name val="Arial Narrow"/>
      <family val="2"/>
    </font>
    <font>
      <i/>
      <sz val="10"/>
      <color theme="1"/>
      <name val="Arial Narrow"/>
      <family val="2"/>
    </font>
    <font>
      <b/>
      <sz val="16"/>
      <color indexed="8"/>
      <name val="Arial"/>
      <family val="2"/>
    </font>
    <font>
      <b/>
      <sz val="10"/>
      <color indexed="8"/>
      <name val="Arial"/>
      <family val="2"/>
    </font>
    <font>
      <sz val="16"/>
      <color indexed="8"/>
      <name val="Arial"/>
      <family val="2"/>
    </font>
    <font>
      <b/>
      <sz val="11"/>
      <color indexed="8"/>
      <name val="Calibri"/>
      <family val="2"/>
    </font>
    <font>
      <i/>
      <sz val="8"/>
      <color indexed="10"/>
      <name val="Arial"/>
      <family val="2"/>
    </font>
    <font>
      <sz val="8"/>
      <color indexed="10"/>
      <name val="Arial"/>
      <family val="2"/>
    </font>
    <font>
      <b/>
      <i/>
      <sz val="8"/>
      <color indexed="10"/>
      <name val="Arial"/>
      <family val="2"/>
    </font>
    <font>
      <sz val="10"/>
      <color rgb="FF2F2F2F"/>
      <name val="Segoe UI"/>
      <family val="2"/>
    </font>
    <font>
      <sz val="11"/>
      <color theme="1"/>
      <name val="Calibri"/>
      <family val="2"/>
    </font>
    <font>
      <b/>
      <sz val="8"/>
      <color indexed="10"/>
      <name val="Arial"/>
      <family val="2"/>
    </font>
    <font>
      <b/>
      <i/>
      <sz val="10"/>
      <color theme="1"/>
      <name val="Arial"/>
      <family val="2"/>
    </font>
    <font>
      <i/>
      <sz val="10"/>
      <color theme="1"/>
      <name val="Arial"/>
      <family val="2"/>
    </font>
    <font>
      <b/>
      <sz val="10"/>
      <color rgb="FFFF0000"/>
      <name val="Arial"/>
      <family val="2"/>
    </font>
    <font>
      <b/>
      <sz val="11"/>
      <name val="Calibri"/>
      <family val="2"/>
      <scheme val="minor"/>
    </font>
    <font>
      <b/>
      <sz val="11"/>
      <color rgb="FFFF0000"/>
      <name val="Calibri"/>
      <family val="2"/>
      <scheme val="minor"/>
    </font>
    <font>
      <i/>
      <sz val="8"/>
      <color rgb="FFFF0000"/>
      <name val="Arial"/>
      <family val="2"/>
    </font>
    <font>
      <sz val="8"/>
      <color rgb="FFFF0000"/>
      <name val="Arial"/>
      <family val="2"/>
    </font>
    <font>
      <sz val="10"/>
      <color rgb="FFFF0000"/>
      <name val="Arial"/>
      <family val="2"/>
    </font>
    <font>
      <i/>
      <u/>
      <sz val="8"/>
      <color rgb="FFFF0000"/>
      <name val="Arial"/>
      <family val="2"/>
    </font>
    <font>
      <b/>
      <u/>
      <sz val="11"/>
      <color rgb="FFFF0000"/>
      <name val="Calibri"/>
      <family val="2"/>
      <scheme val="minor"/>
    </font>
    <font>
      <u/>
      <sz val="8"/>
      <color theme="1"/>
      <name val="Arial"/>
      <family val="2"/>
    </font>
  </fonts>
  <fills count="46">
    <fill>
      <patternFill patternType="none"/>
    </fill>
    <fill>
      <patternFill patternType="gray125"/>
    </fill>
    <fill>
      <patternFill patternType="solid">
        <fgColor rgb="FFFFFFCC"/>
      </patternFill>
    </fill>
    <fill>
      <patternFill patternType="solid">
        <fgColor theme="5" tint="0.59996337778862885"/>
        <bgColor indexed="65"/>
      </patternFill>
    </fill>
    <fill>
      <patternFill patternType="solid">
        <fgColor theme="8"/>
      </patternFill>
    </fill>
    <fill>
      <patternFill patternType="solid">
        <fgColor theme="8" tint="0.79995117038483843"/>
        <bgColor indexed="65"/>
      </patternFill>
    </fill>
    <fill>
      <patternFill patternType="solid">
        <fgColor rgb="FFFFCCCC"/>
        <bgColor indexed="64"/>
      </patternFill>
    </fill>
    <fill>
      <patternFill patternType="solid">
        <fgColor rgb="FFFF999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22"/>
        <bgColor indexed="64"/>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31"/>
        <bgColor indexed="64"/>
      </patternFill>
    </fill>
    <fill>
      <patternFill patternType="solid">
        <fgColor indexed="44"/>
        <bgColor indexed="8"/>
      </patternFill>
    </fill>
    <fill>
      <patternFill patternType="solid">
        <fgColor indexed="55"/>
      </patternFill>
    </fill>
    <fill>
      <patternFill patternType="solid">
        <fgColor indexed="10"/>
        <bgColor indexed="8"/>
      </patternFill>
    </fill>
    <fill>
      <patternFill patternType="solid">
        <fgColor indexed="22"/>
        <bgColor indexed="10"/>
      </patternFill>
    </fill>
    <fill>
      <patternFill patternType="solid">
        <fgColor indexed="26"/>
      </patternFill>
    </fill>
    <fill>
      <patternFill patternType="solid">
        <fgColor indexed="62"/>
        <bgColor indexed="64"/>
      </patternFill>
    </fill>
    <fill>
      <patternFill patternType="solid">
        <fgColor indexed="9"/>
        <bgColor indexed="64"/>
      </patternFill>
    </fill>
    <fill>
      <patternFill patternType="solid">
        <fgColor indexed="22"/>
        <bgColor indexed="8"/>
      </patternFill>
    </fill>
    <fill>
      <patternFill patternType="solid">
        <fgColor indexed="10"/>
        <bgColor indexed="64"/>
      </patternFill>
    </fill>
    <fill>
      <patternFill patternType="solid">
        <fgColor indexed="44"/>
        <bgColor indexed="64"/>
      </patternFill>
    </fill>
    <fill>
      <patternFill patternType="solid">
        <fgColor indexed="43"/>
      </patternFill>
    </fill>
    <fill>
      <patternFill patternType="solid">
        <fgColor indexed="44"/>
        <bgColor indexed="10"/>
      </patternFill>
    </fill>
    <fill>
      <patternFill patternType="solid">
        <fgColor theme="4" tint="0.79995117038483843"/>
        <bgColor indexed="64"/>
      </patternFill>
    </fill>
    <fill>
      <patternFill patternType="solid">
        <fgColor indexed="11"/>
        <bgColor indexed="64"/>
      </patternFill>
    </fill>
    <fill>
      <patternFill patternType="solid">
        <fgColor indexed="29"/>
        <bgColor indexed="64"/>
      </patternFill>
    </fill>
    <fill>
      <patternFill patternType="solid">
        <fgColor rgb="FFCCCCFF"/>
        <bgColor indexed="64"/>
      </patternFill>
    </fill>
    <fill>
      <patternFill patternType="solid">
        <fgColor rgb="FFFF8080"/>
        <bgColor indexed="64"/>
      </patternFill>
    </fill>
    <fill>
      <patternFill patternType="solid">
        <fgColor rgb="FFFFFFFF"/>
      </patternFill>
    </fill>
  </fills>
  <borders count="56">
    <border>
      <left/>
      <right/>
      <top/>
      <bottom/>
      <diagonal/>
    </border>
    <border>
      <left style="thin">
        <color rgb="FFB2B2B2"/>
      </left>
      <right style="thin">
        <color rgb="FFB2B2B2"/>
      </right>
      <top style="thin">
        <color rgb="FFB2B2B2"/>
      </top>
      <bottom style="thin">
        <color rgb="FFB2B2B2"/>
      </bottom>
      <diagonal/>
    </border>
    <border>
      <left/>
      <right/>
      <top style="thin">
        <color auto="1"/>
      </top>
      <bottom/>
      <diagonal/>
    </border>
    <border>
      <left style="thin">
        <color auto="1"/>
      </left>
      <right/>
      <top/>
      <bottom/>
      <diagonal/>
    </border>
    <border>
      <left/>
      <right style="thin">
        <color auto="1"/>
      </right>
      <top/>
      <bottom/>
      <diagonal/>
    </border>
    <border>
      <left/>
      <right style="thin">
        <color auto="1"/>
      </right>
      <top style="thin">
        <color auto="1"/>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double">
        <color auto="1"/>
      </left>
      <right style="double">
        <color auto="1"/>
      </right>
      <top style="double">
        <color auto="1"/>
      </top>
      <bottom style="double">
        <color auto="1"/>
      </bottom>
      <diagonal/>
    </border>
    <border>
      <left style="thick">
        <color auto="1"/>
      </left>
      <right style="thick">
        <color auto="1"/>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dotted">
        <color auto="1"/>
      </right>
      <top/>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double">
        <color auto="1"/>
      </top>
      <bottom/>
      <diagonal/>
    </border>
    <border>
      <left/>
      <right/>
      <top style="thick">
        <color indexed="63"/>
      </top>
      <bottom/>
      <diagonal/>
    </border>
    <border>
      <left style="dotted">
        <color auto="1"/>
      </left>
      <right style="dotted">
        <color auto="1"/>
      </right>
      <top style="dotted">
        <color auto="1"/>
      </top>
      <bottom style="dotted">
        <color auto="1"/>
      </bottom>
      <diagonal/>
    </border>
    <border>
      <left/>
      <right/>
      <top style="thin">
        <color indexed="62"/>
      </top>
      <bottom style="double">
        <color indexed="62"/>
      </bottom>
      <diagonal/>
    </border>
    <border>
      <left/>
      <right/>
      <top style="thin">
        <color rgb="FF000000"/>
      </top>
      <bottom/>
      <diagonal/>
    </border>
    <border>
      <left/>
      <right/>
      <top/>
      <bottom style="thick">
        <color rgb="FF3366FF"/>
      </bottom>
      <diagonal/>
    </border>
    <border>
      <left/>
      <right/>
      <top style="thick">
        <color rgb="FF3366FF"/>
      </top>
      <bottom/>
      <diagonal/>
    </border>
    <border>
      <left/>
      <right style="thin">
        <color auto="1"/>
      </right>
      <top style="thin">
        <color indexed="64"/>
      </top>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2"/>
      </top>
      <bottom style="double">
        <color indexed="62"/>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auto="1"/>
      </bottom>
      <diagonal/>
    </border>
    <border>
      <left style="thin">
        <color rgb="FFC0C8D0"/>
      </left>
      <right style="thin">
        <color rgb="FFC0C8D0"/>
      </right>
      <top style="thin">
        <color rgb="FFC0C8D0"/>
      </top>
      <bottom style="thin">
        <color rgb="FFC0C8D0"/>
      </bottom>
      <diagonal/>
    </border>
  </borders>
  <cellStyleXfs count="2360">
    <xf numFmtId="0" fontId="0" fillId="0" borderId="0"/>
    <xf numFmtId="0" fontId="3" fillId="4" borderId="0" applyNumberFormat="0" applyBorder="0" applyAlignment="0" applyProtection="0"/>
    <xf numFmtId="0" fontId="11" fillId="0" borderId="0"/>
    <xf numFmtId="0" fontId="12" fillId="0" borderId="0"/>
    <xf numFmtId="0" fontId="9" fillId="0" borderId="0"/>
    <xf numFmtId="0" fontId="20" fillId="0" borderId="0" applyNumberFormat="0" applyFill="0" applyBorder="0" applyAlignment="0" applyProtection="0">
      <alignment vertical="top"/>
      <protection locked="0"/>
    </xf>
    <xf numFmtId="0" fontId="21" fillId="0" borderId="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5" borderId="0" applyNumberFormat="0" applyBorder="0" applyAlignment="0" applyProtection="0"/>
    <xf numFmtId="0" fontId="1" fillId="1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12" borderId="0" applyNumberFormat="0" applyBorder="0" applyAlignment="0" applyProtection="0"/>
    <xf numFmtId="0" fontId="22" fillId="11" borderId="0" applyNumberFormat="0" applyBorder="0" applyAlignment="0" applyProtection="0"/>
    <xf numFmtId="0" fontId="22" fillId="18" borderId="0" applyNumberFormat="0" applyBorder="0" applyAlignment="0" applyProtection="0"/>
    <xf numFmtId="0" fontId="22" fillId="20"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23" fillId="21" borderId="0" applyNumberFormat="0" applyBorder="0" applyAlignment="0" applyProtection="0"/>
    <xf numFmtId="0" fontId="23" fillId="19"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22" borderId="0" applyNumberFormat="0" applyBorder="0" applyAlignment="0" applyProtection="0"/>
    <xf numFmtId="0" fontId="23" fillId="14" borderId="0" applyNumberFormat="0" applyBorder="0" applyAlignment="0" applyProtection="0"/>
    <xf numFmtId="172" fontId="24" fillId="0" borderId="0" applyFill="0" applyBorder="0" applyProtection="0">
      <alignment horizontal="right" vertical="center"/>
    </xf>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13" borderId="0" applyNumberFormat="0" applyBorder="0" applyAlignment="0" applyProtection="0"/>
    <xf numFmtId="0" fontId="3" fillId="26" borderId="0" applyNumberFormat="0" applyBorder="0" applyAlignment="0" applyProtection="0"/>
    <xf numFmtId="0" fontId="14" fillId="0" borderId="8">
      <alignment horizontal="center" vertical="center"/>
    </xf>
    <xf numFmtId="0" fontId="25" fillId="0" borderId="0" applyNumberFormat="0" applyFill="0" applyBorder="0" applyAlignment="0" applyProtection="0"/>
    <xf numFmtId="173" fontId="26" fillId="0" borderId="0" applyFill="0" applyBorder="0" applyProtection="0"/>
    <xf numFmtId="0" fontId="7" fillId="27" borderId="9"/>
    <xf numFmtId="0" fontId="7" fillId="27" borderId="9"/>
    <xf numFmtId="0" fontId="7" fillId="27" borderId="9"/>
    <xf numFmtId="0" fontId="7" fillId="27" borderId="9"/>
    <xf numFmtId="0" fontId="7" fillId="27" borderId="9"/>
    <xf numFmtId="0" fontId="7" fillId="27" borderId="9"/>
    <xf numFmtId="0" fontId="7" fillId="27" borderId="9"/>
    <xf numFmtId="0" fontId="7" fillId="27" borderId="9"/>
    <xf numFmtId="0" fontId="7" fillId="27" borderId="9"/>
    <xf numFmtId="0" fontId="27" fillId="28" borderId="10">
      <alignment horizontal="right" vertical="top" wrapText="1"/>
    </xf>
    <xf numFmtId="0" fontId="28" fillId="0" borderId="0"/>
    <xf numFmtId="174" fontId="29" fillId="0" borderId="0">
      <alignment vertical="top"/>
    </xf>
    <xf numFmtId="0" fontId="30" fillId="17" borderId="11" applyNumberFormat="0" applyAlignment="0" applyProtection="0"/>
    <xf numFmtId="0" fontId="7" fillId="0" borderId="7"/>
    <xf numFmtId="0" fontId="7" fillId="0" borderId="7"/>
    <xf numFmtId="0" fontId="7" fillId="0" borderId="7"/>
    <xf numFmtId="0" fontId="7" fillId="0" borderId="7"/>
    <xf numFmtId="0" fontId="7" fillId="0" borderId="7"/>
    <xf numFmtId="0" fontId="7" fillId="0" borderId="7"/>
    <xf numFmtId="0" fontId="7" fillId="0" borderId="7"/>
    <xf numFmtId="0" fontId="7" fillId="0" borderId="7"/>
    <xf numFmtId="0" fontId="7" fillId="0" borderId="7"/>
    <xf numFmtId="0" fontId="31" fillId="0" borderId="12" applyNumberFormat="0" applyFill="0" applyAlignment="0" applyProtection="0"/>
    <xf numFmtId="0" fontId="32" fillId="30" borderId="14">
      <alignment horizontal="left" vertical="top" wrapText="1"/>
    </xf>
    <xf numFmtId="0" fontId="33" fillId="15" borderId="0">
      <alignment horizontal="center"/>
    </xf>
    <xf numFmtId="0" fontId="34" fillId="15" borderId="0">
      <alignment horizontal="center" vertical="center"/>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9" fillId="31" borderId="0">
      <alignment horizontal="center" wrapText="1"/>
    </xf>
    <xf numFmtId="0" fontId="35" fillId="15" borderId="0">
      <alignment horizontal="center"/>
    </xf>
    <xf numFmtId="7" fontId="14" fillId="0" borderId="0" applyFont="0" applyFill="0" applyBorder="0" applyProtection="0">
      <alignment horizontal="right" vertical="top"/>
    </xf>
    <xf numFmtId="41" fontId="36" fillId="0" borderId="0" applyFont="0" applyFill="0" applyBorder="0" applyAlignment="0" applyProtection="0">
      <alignment vertical="center"/>
    </xf>
    <xf numFmtId="1" fontId="37" fillId="0" borderId="0">
      <alignment vertical="top"/>
    </xf>
    <xf numFmtId="167" fontId="12" fillId="0" borderId="0" applyFont="0" applyFill="0" applyBorder="0" applyAlignment="0" applyProtection="0"/>
    <xf numFmtId="43" fontId="9"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43" fontId="9"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43" fontId="9"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70"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43" fontId="9"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3" fontId="37" fillId="0" borderId="0" applyFill="0" applyBorder="0">
      <alignment horizontal="right" vertical="top"/>
    </xf>
    <xf numFmtId="175" fontId="38" fillId="0" borderId="0">
      <alignment horizontal="right" vertical="top"/>
    </xf>
    <xf numFmtId="176" fontId="37" fillId="0" borderId="0" applyFill="0" applyBorder="0">
      <alignment horizontal="right" vertical="top"/>
    </xf>
    <xf numFmtId="3" fontId="37" fillId="0" borderId="0" applyFill="0" applyBorder="0">
      <alignment horizontal="right" vertical="top"/>
    </xf>
    <xf numFmtId="175" fontId="29" fillId="0" borderId="0" applyFont="0" applyFill="0" applyBorder="0">
      <alignment horizontal="right" vertical="top"/>
    </xf>
    <xf numFmtId="177" fontId="37" fillId="0" borderId="0" applyFont="0" applyFill="0" applyBorder="0" applyAlignment="0" applyProtection="0">
      <alignment horizontal="right" vertical="top"/>
    </xf>
    <xf numFmtId="176" fontId="37" fillId="0" borderId="0">
      <alignment horizontal="right" vertical="top"/>
    </xf>
    <xf numFmtId="3" fontId="39" fillId="0" borderId="0" applyFont="0" applyFill="0" applyBorder="0" applyAlignment="0" applyProtection="0"/>
    <xf numFmtId="0" fontId="12" fillId="32" borderId="15" applyNumberFormat="0" applyFont="0" applyAlignment="0" applyProtection="0"/>
    <xf numFmtId="178" fontId="39" fillId="0" borderId="0" applyFont="0" applyFill="0" applyBorder="0" applyAlignment="0" applyProtection="0"/>
    <xf numFmtId="0" fontId="40" fillId="33" borderId="0">
      <alignment horizontal="centerContinuous" vertical="center" wrapText="1"/>
    </xf>
    <xf numFmtId="0" fontId="41" fillId="34" borderId="9" applyBorder="0">
      <protection locked="0"/>
    </xf>
    <xf numFmtId="0" fontId="39" fillId="0" borderId="0" applyFont="0" applyFill="0" applyBorder="0" applyAlignment="0" applyProtection="0"/>
    <xf numFmtId="0" fontId="42" fillId="0" borderId="0" applyNumberFormat="0" applyFill="0" applyBorder="0" applyAlignment="0" applyProtection="0"/>
    <xf numFmtId="165" fontId="9" fillId="0" borderId="0" applyFont="0" applyFill="0" applyBorder="0" applyAlignment="0" applyProtection="0"/>
    <xf numFmtId="179" fontId="43" fillId="0" borderId="0" applyFont="0" applyFill="0" applyBorder="0" applyAlignment="0" applyProtection="0"/>
    <xf numFmtId="0" fontId="44" fillId="0" borderId="0">
      <alignment horizontal="centerContinuous"/>
    </xf>
    <xf numFmtId="0" fontId="44" fillId="0" borderId="0" applyAlignment="0">
      <alignment horizontal="centerContinuous"/>
    </xf>
    <xf numFmtId="0" fontId="45" fillId="0" borderId="0" applyAlignment="0">
      <alignment horizontal="centerContinuous"/>
    </xf>
    <xf numFmtId="169" fontId="14" fillId="0" borderId="0" applyBorder="0"/>
    <xf numFmtId="169" fontId="14" fillId="0" borderId="3"/>
    <xf numFmtId="0" fontId="46" fillId="17" borderId="11" applyNumberFormat="0" applyAlignment="0" applyProtection="0"/>
    <xf numFmtId="0" fontId="47" fillId="34" borderId="9">
      <protection locked="0"/>
    </xf>
    <xf numFmtId="0" fontId="9" fillId="34" borderId="7"/>
    <xf numFmtId="0" fontId="9" fillId="15" borderId="0"/>
    <xf numFmtId="168" fontId="9" fillId="0" borderId="0" applyFont="0" applyFill="0" applyBorder="0" applyAlignment="0" applyProtection="0"/>
    <xf numFmtId="2" fontId="42" fillId="0" borderId="0" applyFill="0" applyBorder="0" applyAlignment="0" applyProtection="0"/>
    <xf numFmtId="3" fontId="48" fillId="0" borderId="0"/>
    <xf numFmtId="2" fontId="39" fillId="0" borderId="0" applyFont="0" applyFill="0" applyBorder="0" applyAlignment="0" applyProtection="0"/>
    <xf numFmtId="0" fontId="49" fillId="0" borderId="0" applyNumberFormat="0" applyFill="0" applyBorder="0" applyAlignment="0" applyProtection="0">
      <alignment vertical="top"/>
      <protection locked="0"/>
    </xf>
    <xf numFmtId="0" fontId="7" fillId="0" borderId="0">
      <alignment horizontal="left" vertical="top" wrapText="1"/>
    </xf>
    <xf numFmtId="1" fontId="50" fillId="0" borderId="0" applyNumberFormat="0" applyFill="0" applyBorder="0" applyAlignment="0" applyProtection="0">
      <alignment horizontal="center" vertical="top"/>
    </xf>
    <xf numFmtId="0" fontId="6" fillId="15" borderId="7">
      <alignment horizontal="left"/>
    </xf>
    <xf numFmtId="0" fontId="51" fillId="15" borderId="0">
      <alignment horizontal="left"/>
    </xf>
    <xf numFmtId="0" fontId="51" fillId="15" borderId="0">
      <alignment horizontal="left"/>
    </xf>
    <xf numFmtId="0" fontId="12" fillId="15" borderId="0">
      <alignment horizontal="left"/>
    </xf>
    <xf numFmtId="0" fontId="12" fillId="15" borderId="0">
      <alignment horizontal="left"/>
    </xf>
    <xf numFmtId="0" fontId="12" fillId="15" borderId="0">
      <alignment horizontal="left"/>
    </xf>
    <xf numFmtId="0" fontId="12" fillId="15" borderId="0">
      <alignment horizontal="left"/>
    </xf>
    <xf numFmtId="38" fontId="7" fillId="15" borderId="0" applyNumberFormat="0" applyBorder="0" applyAlignment="0" applyProtection="0"/>
    <xf numFmtId="0" fontId="27" fillId="35" borderId="0">
      <alignment horizontal="right" vertical="top" textRotation="90" wrapText="1"/>
    </xf>
    <xf numFmtId="0" fontId="27" fillId="35" borderId="0">
      <alignment horizontal="right" vertical="top" textRotation="90" wrapText="1"/>
    </xf>
    <xf numFmtId="0" fontId="52" fillId="0" borderId="6" applyNumberFormat="0" applyAlignment="0" applyProtection="0">
      <alignment horizontal="left" vertical="center"/>
    </xf>
    <xf numFmtId="0" fontId="52" fillId="0" borderId="8">
      <alignment horizontal="left" vertical="center"/>
    </xf>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180" fontId="54" fillId="0" borderId="0">
      <protection locked="0"/>
    </xf>
    <xf numFmtId="180" fontId="54" fillId="0" borderId="0">
      <protection locked="0"/>
    </xf>
    <xf numFmtId="0" fontId="18"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12" fillId="2" borderId="1" applyNumberFormat="0" applyFont="0" applyAlignment="0" applyProtection="0"/>
    <xf numFmtId="0" fontId="12" fillId="2" borderId="1" applyNumberFormat="0" applyFont="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10" fontId="7" fillId="34" borderId="7" applyNumberFormat="0" applyBorder="0" applyAlignment="0" applyProtection="0"/>
    <xf numFmtId="0" fontId="56" fillId="9" borderId="0" applyNumberFormat="0" applyBorder="0" applyAlignment="0" applyProtection="0"/>
    <xf numFmtId="0" fontId="57" fillId="31" borderId="0">
      <alignment horizontal="center"/>
    </xf>
    <xf numFmtId="0" fontId="57" fillId="31" borderId="0">
      <alignment horizontal="center"/>
    </xf>
    <xf numFmtId="0" fontId="57" fillId="31" borderId="0">
      <alignment horizontal="center"/>
    </xf>
    <xf numFmtId="0" fontId="57" fillId="31" borderId="0">
      <alignment horizontal="center"/>
    </xf>
    <xf numFmtId="0" fontId="57" fillId="31" borderId="0">
      <alignment horizontal="center"/>
    </xf>
    <xf numFmtId="0" fontId="57" fillId="31" borderId="0">
      <alignment horizontal="center"/>
    </xf>
    <xf numFmtId="0" fontId="57" fillId="31" borderId="0">
      <alignment horizontal="center"/>
    </xf>
    <xf numFmtId="0" fontId="57" fillId="31" borderId="0">
      <alignment horizontal="center"/>
    </xf>
    <xf numFmtId="0" fontId="57" fillId="31" borderId="0">
      <alignment horizontal="center"/>
    </xf>
    <xf numFmtId="0" fontId="9" fillId="15" borderId="7">
      <alignment horizontal="centerContinuous" wrapText="1"/>
    </xf>
    <xf numFmtId="0" fontId="58" fillId="36" borderId="0">
      <alignment horizontal="center" wrapText="1"/>
    </xf>
    <xf numFmtId="0" fontId="9" fillId="15" borderId="7">
      <alignment horizontal="centerContinuous" wrapText="1"/>
    </xf>
    <xf numFmtId="0" fontId="59" fillId="0" borderId="0" applyNumberFormat="0" applyFill="0" applyBorder="0" applyAlignment="0" applyProtection="0"/>
    <xf numFmtId="0" fontId="60" fillId="0" borderId="0" applyNumberFormat="0" applyFill="0" applyBorder="0" applyAlignment="0" applyProtection="0"/>
    <xf numFmtId="0" fontId="7" fillId="15" borderId="8">
      <alignment wrapText="1"/>
    </xf>
    <xf numFmtId="0" fontId="61" fillId="15" borderId="8">
      <alignment wrapText="1"/>
    </xf>
    <xf numFmtId="0" fontId="7" fillId="15" borderId="8">
      <alignment wrapText="1"/>
    </xf>
    <xf numFmtId="0" fontId="7" fillId="15" borderId="8">
      <alignment wrapText="1"/>
    </xf>
    <xf numFmtId="0" fontId="61" fillId="15" borderId="8">
      <alignment wrapText="1"/>
    </xf>
    <xf numFmtId="0" fontId="61" fillId="15" borderId="8">
      <alignment wrapText="1"/>
    </xf>
    <xf numFmtId="0" fontId="61" fillId="15" borderId="8">
      <alignment wrapText="1"/>
    </xf>
    <xf numFmtId="0" fontId="61" fillId="15" borderId="8">
      <alignment wrapText="1"/>
    </xf>
    <xf numFmtId="0" fontId="61" fillId="15" borderId="8">
      <alignment wrapText="1"/>
    </xf>
    <xf numFmtId="0" fontId="7" fillId="15" borderId="8">
      <alignment wrapText="1"/>
    </xf>
    <xf numFmtId="0" fontId="7" fillId="15" borderId="8">
      <alignment wrapText="1"/>
    </xf>
    <xf numFmtId="0" fontId="7" fillId="15" borderId="8">
      <alignment wrapText="1"/>
    </xf>
    <xf numFmtId="0" fontId="7" fillId="15" borderId="8">
      <alignment wrapText="1"/>
    </xf>
    <xf numFmtId="0" fontId="7" fillId="15" borderId="8">
      <alignment wrapText="1"/>
    </xf>
    <xf numFmtId="0" fontId="7" fillId="15" borderId="8">
      <alignment wrapText="1"/>
    </xf>
    <xf numFmtId="0" fontId="7" fillId="15" borderId="8">
      <alignment wrapText="1"/>
    </xf>
    <xf numFmtId="0" fontId="61" fillId="15" borderId="19"/>
    <xf numFmtId="0" fontId="7" fillId="15" borderId="19"/>
    <xf numFmtId="0" fontId="7" fillId="15" borderId="19"/>
    <xf numFmtId="0" fontId="7" fillId="15" borderId="19"/>
    <xf numFmtId="0" fontId="61" fillId="15" borderId="19"/>
    <xf numFmtId="0" fontId="61" fillId="15" borderId="19"/>
    <xf numFmtId="0" fontId="61" fillId="15" borderId="19"/>
    <xf numFmtId="0" fontId="61" fillId="15" borderId="19"/>
    <xf numFmtId="0" fontId="61" fillId="15" borderId="19"/>
    <xf numFmtId="0" fontId="7" fillId="15" borderId="19"/>
    <xf numFmtId="0" fontId="7" fillId="15" borderId="19"/>
    <xf numFmtId="0" fontId="7" fillId="15" borderId="19"/>
    <xf numFmtId="0" fontId="7" fillId="15" borderId="19"/>
    <xf numFmtId="0" fontId="7" fillId="15" borderId="19"/>
    <xf numFmtId="0" fontId="7" fillId="15" borderId="19"/>
    <xf numFmtId="0" fontId="7" fillId="15" borderId="19"/>
    <xf numFmtId="0" fontId="61" fillId="15" borderId="20"/>
    <xf numFmtId="0" fontId="7" fillId="15" borderId="20"/>
    <xf numFmtId="0" fontId="7" fillId="15" borderId="20"/>
    <xf numFmtId="0" fontId="7" fillId="15" borderId="20"/>
    <xf numFmtId="0" fontId="61" fillId="15" borderId="20"/>
    <xf numFmtId="0" fontId="61" fillId="15" borderId="20"/>
    <xf numFmtId="0" fontId="61" fillId="15" borderId="20"/>
    <xf numFmtId="0" fontId="61" fillId="15" borderId="20"/>
    <xf numFmtId="0" fontId="61" fillId="15" borderId="20"/>
    <xf numFmtId="0" fontId="7" fillId="15" borderId="20"/>
    <xf numFmtId="0" fontId="7" fillId="15" borderId="20"/>
    <xf numFmtId="0" fontId="7" fillId="15" borderId="20"/>
    <xf numFmtId="0" fontId="7" fillId="15" borderId="20"/>
    <xf numFmtId="0" fontId="7" fillId="15" borderId="20"/>
    <xf numFmtId="0" fontId="7" fillId="15" borderId="20"/>
    <xf numFmtId="0" fontId="7" fillId="15" borderId="20"/>
    <xf numFmtId="0" fontId="7" fillId="15" borderId="21">
      <alignment horizontal="center" wrapText="1"/>
    </xf>
    <xf numFmtId="0" fontId="7" fillId="15" borderId="21">
      <alignment horizontal="center" wrapText="1"/>
    </xf>
    <xf numFmtId="0" fontId="7" fillId="15" borderId="21">
      <alignment horizontal="center" wrapText="1"/>
    </xf>
    <xf numFmtId="0" fontId="7" fillId="15" borderId="21">
      <alignment horizontal="center" wrapText="1"/>
    </xf>
    <xf numFmtId="0" fontId="7" fillId="15" borderId="21">
      <alignment horizontal="center" wrapText="1"/>
    </xf>
    <xf numFmtId="0" fontId="7" fillId="15" borderId="21">
      <alignment horizontal="center" wrapText="1"/>
    </xf>
    <xf numFmtId="0" fontId="7" fillId="15" borderId="21">
      <alignment horizontal="center" wrapText="1"/>
    </xf>
    <xf numFmtId="0" fontId="7" fillId="15" borderId="21">
      <alignment horizontal="center" wrapText="1"/>
    </xf>
    <xf numFmtId="0" fontId="7" fillId="15" borderId="21">
      <alignment horizontal="center" wrapText="1"/>
    </xf>
    <xf numFmtId="0" fontId="62" fillId="37" borderId="22" applyNumberFormat="0" applyBorder="0">
      <alignment horizontal="center" vertical="center" wrapText="1"/>
    </xf>
    <xf numFmtId="0" fontId="32" fillId="30" borderId="23">
      <alignment horizontal="left" vertical="top" wrapText="1"/>
    </xf>
    <xf numFmtId="0" fontId="63" fillId="0" borderId="0" applyNumberForma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3" fillId="0" borderId="0" applyNumberFormat="0" applyFill="0" applyBorder="0" applyAlignment="0" applyProtection="0"/>
    <xf numFmtId="0" fontId="66" fillId="0" borderId="0" applyNumberForma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181" fontId="9" fillId="0" borderId="0" applyFont="0" applyFill="0" applyBorder="0" applyAlignment="0" applyProtection="0"/>
    <xf numFmtId="182" fontId="9" fillId="0" borderId="0" applyFont="0" applyFill="0" applyBorder="0" applyAlignment="0" applyProtection="0"/>
    <xf numFmtId="183" fontId="24" fillId="0" borderId="24" applyFill="0" applyBorder="0" applyProtection="0">
      <alignment horizontal="right" vertical="center"/>
    </xf>
    <xf numFmtId="0" fontId="67" fillId="38" borderId="0" applyNumberFormat="0" applyBorder="0" applyAlignment="0" applyProtection="0"/>
    <xf numFmtId="0" fontId="1" fillId="0" borderId="0"/>
    <xf numFmtId="0" fontId="1" fillId="0" borderId="0"/>
    <xf numFmtId="0" fontId="9" fillId="0" borderId="0"/>
    <xf numFmtId="184" fontId="68" fillId="0" borderId="0"/>
    <xf numFmtId="0" fontId="95" fillId="0" borderId="0"/>
    <xf numFmtId="0" fontId="9" fillId="0" borderId="0"/>
    <xf numFmtId="0" fontId="1" fillId="0" borderId="0"/>
    <xf numFmtId="0" fontId="1" fillId="0" borderId="0"/>
    <xf numFmtId="0" fontId="1" fillId="0" borderId="0"/>
    <xf numFmtId="0" fontId="9" fillId="0" borderId="0"/>
    <xf numFmtId="0" fontId="1" fillId="0" borderId="0"/>
    <xf numFmtId="0" fontId="1" fillId="0" borderId="0"/>
    <xf numFmtId="0" fontId="9" fillId="0" borderId="0"/>
    <xf numFmtId="0" fontId="7"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9" fillId="0" borderId="0"/>
    <xf numFmtId="0" fontId="69" fillId="0" borderId="0"/>
    <xf numFmtId="0" fontId="69" fillId="0" borderId="0"/>
    <xf numFmtId="0" fontId="69" fillId="0" borderId="0"/>
    <xf numFmtId="0" fontId="9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7"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9" fillId="0" borderId="0"/>
    <xf numFmtId="0" fontId="9" fillId="0" borderId="0"/>
    <xf numFmtId="0" fontId="9" fillId="0" borderId="0"/>
    <xf numFmtId="0" fontId="70" fillId="0" borderId="0"/>
    <xf numFmtId="0" fontId="9" fillId="0" borderId="0"/>
    <xf numFmtId="0" fontId="9" fillId="0" borderId="0"/>
    <xf numFmtId="0" fontId="69" fillId="0" borderId="0"/>
    <xf numFmtId="0" fontId="9" fillId="0" borderId="0"/>
    <xf numFmtId="0" fontId="69" fillId="0" borderId="0"/>
    <xf numFmtId="0" fontId="9" fillId="0" borderId="0"/>
    <xf numFmtId="0" fontId="9" fillId="0" borderId="0"/>
    <xf numFmtId="0" fontId="9" fillId="0" borderId="0"/>
    <xf numFmtId="0" fontId="6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NumberFormat="0" applyFont="0" applyFill="0" applyBorder="0" applyAlignment="0" applyProtection="0"/>
    <xf numFmtId="0" fontId="1" fillId="0" borderId="0"/>
    <xf numFmtId="0" fontId="6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69" fillId="0" borderId="0"/>
    <xf numFmtId="0" fontId="95" fillId="0" borderId="0"/>
    <xf numFmtId="0" fontId="71"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69" fillId="0" borderId="0"/>
    <xf numFmtId="0" fontId="14" fillId="0" borderId="0"/>
    <xf numFmtId="0" fontId="72"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1" fillId="0" borderId="0"/>
    <xf numFmtId="0" fontId="7" fillId="0" borderId="0"/>
    <xf numFmtId="0" fontId="14" fillId="0" borderId="0"/>
    <xf numFmtId="0" fontId="1" fillId="0" borderId="0"/>
    <xf numFmtId="0" fontId="9" fillId="0" borderId="0"/>
    <xf numFmtId="0" fontId="9" fillId="0" borderId="0"/>
    <xf numFmtId="0" fontId="1" fillId="0" borderId="0"/>
    <xf numFmtId="0" fontId="9" fillId="0" borderId="0"/>
    <xf numFmtId="0" fontId="9" fillId="0" borderId="0"/>
    <xf numFmtId="0" fontId="69" fillId="0" borderId="0"/>
    <xf numFmtId="0" fontId="9" fillId="0" borderId="0"/>
    <xf numFmtId="0" fontId="9" fillId="0" borderId="0"/>
    <xf numFmtId="0" fontId="9" fillId="0" borderId="0"/>
    <xf numFmtId="0" fontId="9" fillId="0" borderId="0"/>
    <xf numFmtId="0" fontId="1" fillId="0" borderId="0"/>
    <xf numFmtId="0" fontId="9" fillId="0" borderId="0" applyNumberForma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xf numFmtId="0" fontId="1" fillId="0" borderId="0"/>
    <xf numFmtId="0" fontId="1" fillId="0" borderId="0"/>
    <xf numFmtId="0" fontId="1" fillId="0" borderId="0"/>
    <xf numFmtId="0" fontId="69" fillId="0" borderId="0"/>
    <xf numFmtId="0" fontId="96" fillId="0" borderId="0"/>
    <xf numFmtId="0" fontId="9" fillId="0" borderId="0"/>
    <xf numFmtId="0" fontId="1" fillId="0" borderId="0"/>
    <xf numFmtId="0" fontId="1" fillId="0" borderId="0"/>
    <xf numFmtId="0" fontId="1" fillId="0" borderId="0"/>
    <xf numFmtId="0" fontId="1" fillId="0" borderId="0"/>
    <xf numFmtId="0" fontId="1" fillId="0" borderId="0"/>
    <xf numFmtId="0" fontId="95" fillId="0" borderId="0"/>
    <xf numFmtId="0" fontId="9" fillId="0" borderId="0"/>
    <xf numFmtId="0" fontId="1" fillId="0" borderId="0"/>
    <xf numFmtId="0" fontId="9"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69" fillId="0" borderId="0"/>
    <xf numFmtId="0" fontId="1" fillId="0" borderId="0"/>
    <xf numFmtId="0" fontId="1" fillId="0" borderId="0"/>
    <xf numFmtId="0" fontId="1" fillId="0" borderId="0"/>
    <xf numFmtId="0" fontId="1" fillId="0" borderId="0"/>
    <xf numFmtId="0" fontId="9" fillId="0" borderId="0"/>
    <xf numFmtId="0" fontId="72" fillId="0" borderId="0"/>
    <xf numFmtId="0" fontId="9" fillId="0" borderId="0"/>
    <xf numFmtId="0" fontId="1" fillId="0" borderId="0"/>
    <xf numFmtId="0" fontId="9" fillId="0" borderId="0"/>
    <xf numFmtId="0" fontId="9" fillId="0" borderId="0"/>
    <xf numFmtId="0" fontId="7" fillId="0" borderId="0"/>
    <xf numFmtId="0" fontId="9" fillId="0" borderId="0"/>
    <xf numFmtId="0" fontId="9" fillId="0" borderId="0"/>
    <xf numFmtId="0" fontId="9" fillId="0" borderId="0"/>
    <xf numFmtId="0" fontId="9" fillId="0" borderId="0" applyNumberFormat="0" applyFill="0" applyBorder="0" applyAlignment="0" applyProtection="0"/>
    <xf numFmtId="0" fontId="9" fillId="0" borderId="0"/>
    <xf numFmtId="0" fontId="9" fillId="0" borderId="0"/>
    <xf numFmtId="0" fontId="9" fillId="0" borderId="0"/>
    <xf numFmtId="0" fontId="1" fillId="0" borderId="0"/>
    <xf numFmtId="0" fontId="9" fillId="0" borderId="0"/>
    <xf numFmtId="0" fontId="9" fillId="0" borderId="0"/>
    <xf numFmtId="0" fontId="1" fillId="0" borderId="0"/>
    <xf numFmtId="0" fontId="9" fillId="0" borderId="0"/>
    <xf numFmtId="0" fontId="9" fillId="0" borderId="0"/>
    <xf numFmtId="0" fontId="1" fillId="0" borderId="0"/>
    <xf numFmtId="0" fontId="9" fillId="0" borderId="0"/>
    <xf numFmtId="0" fontId="1" fillId="0" borderId="0"/>
    <xf numFmtId="0" fontId="7" fillId="0" borderId="0"/>
    <xf numFmtId="0" fontId="69" fillId="0" borderId="0"/>
    <xf numFmtId="0" fontId="9" fillId="0" borderId="0"/>
    <xf numFmtId="0" fontId="72" fillId="0" borderId="0"/>
    <xf numFmtId="0" fontId="72" fillId="0" borderId="0"/>
    <xf numFmtId="0" fontId="72" fillId="0" borderId="0"/>
    <xf numFmtId="0" fontId="72" fillId="0" borderId="0"/>
    <xf numFmtId="0" fontId="72" fillId="0" borderId="0"/>
    <xf numFmtId="0" fontId="72" fillId="0" borderId="0"/>
    <xf numFmtId="0" fontId="73" fillId="0" borderId="0"/>
    <xf numFmtId="0" fontId="1" fillId="0" borderId="0"/>
    <xf numFmtId="0" fontId="1" fillId="0" borderId="0"/>
    <xf numFmtId="0" fontId="1" fillId="0" borderId="0"/>
    <xf numFmtId="0" fontId="1" fillId="0" borderId="0"/>
    <xf numFmtId="0" fontId="1" fillId="0" borderId="0"/>
    <xf numFmtId="0" fontId="72" fillId="0" borderId="0"/>
    <xf numFmtId="0" fontId="72" fillId="0" borderId="0"/>
    <xf numFmtId="0" fontId="72" fillId="0" borderId="0"/>
    <xf numFmtId="0" fontId="72" fillId="0" borderId="0"/>
    <xf numFmtId="0" fontId="1" fillId="0" borderId="0"/>
    <xf numFmtId="0" fontId="72" fillId="0" borderId="0"/>
    <xf numFmtId="0" fontId="72" fillId="0" borderId="0"/>
    <xf numFmtId="0" fontId="72" fillId="0" borderId="0"/>
    <xf numFmtId="0" fontId="72" fillId="0" borderId="0"/>
    <xf numFmtId="0" fontId="72" fillId="0" borderId="0"/>
    <xf numFmtId="0" fontId="9"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9" fillId="0" borderId="0" applyNumberFormat="0" applyFont="0" applyFill="0" applyBorder="0" applyAlignment="0" applyProtection="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1" fontId="29" fillId="0" borderId="0">
      <alignment vertical="top" wrapText="1"/>
    </xf>
    <xf numFmtId="1" fontId="74" fillId="0" borderId="0" applyFill="0" applyBorder="0" applyProtection="0"/>
    <xf numFmtId="1" fontId="54" fillId="0" borderId="0" applyFont="0" applyFill="0" applyBorder="0" applyProtection="0">
      <alignment vertical="center"/>
    </xf>
    <xf numFmtId="1" fontId="38" fillId="0" borderId="0">
      <alignment horizontal="right" vertical="top"/>
    </xf>
    <xf numFmtId="174" fontId="38" fillId="0" borderId="0">
      <alignment horizontal="right" vertical="top"/>
    </xf>
    <xf numFmtId="185" fontId="75" fillId="0" borderId="0"/>
    <xf numFmtId="0" fontId="9" fillId="0" borderId="0"/>
    <xf numFmtId="0" fontId="76" fillId="0" borderId="0"/>
    <xf numFmtId="0" fontId="97" fillId="0" borderId="0"/>
    <xf numFmtId="0" fontId="98" fillId="0" borderId="0"/>
    <xf numFmtId="0" fontId="97" fillId="0" borderId="0"/>
    <xf numFmtId="0" fontId="98" fillId="0" borderId="0"/>
    <xf numFmtId="0" fontId="97"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8" fillId="0" borderId="0"/>
    <xf numFmtId="0" fontId="97" fillId="0" borderId="0"/>
    <xf numFmtId="0" fontId="98" fillId="0" borderId="0"/>
    <xf numFmtId="0" fontId="98" fillId="0" borderId="0"/>
    <xf numFmtId="0" fontId="98" fillId="0" borderId="0"/>
    <xf numFmtId="0" fontId="97" fillId="0" borderId="0"/>
    <xf numFmtId="0" fontId="97" fillId="0" borderId="0"/>
    <xf numFmtId="0" fontId="97" fillId="0" borderId="0"/>
    <xf numFmtId="0" fontId="98" fillId="0" borderId="0"/>
    <xf numFmtId="0" fontId="73" fillId="0" borderId="0"/>
    <xf numFmtId="1" fontId="37" fillId="0" borderId="0" applyNumberFormat="0" applyFill="0" applyBorder="0">
      <alignment vertical="top"/>
    </xf>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12" fillId="2" borderId="1" applyNumberFormat="0" applyFont="0" applyAlignment="0" applyProtection="0"/>
    <xf numFmtId="0" fontId="12" fillId="32" borderId="15" applyNumberFormat="0" applyFont="0" applyAlignment="0" applyProtection="0"/>
    <xf numFmtId="0" fontId="54" fillId="0" borderId="0">
      <alignment horizontal="left"/>
    </xf>
    <xf numFmtId="186" fontId="77" fillId="0" borderId="0">
      <alignment horizontal="right"/>
      <protection locked="0"/>
    </xf>
    <xf numFmtId="10" fontId="9" fillId="0" borderId="0" applyFont="0" applyFill="0" applyBorder="0" applyAlignment="0" applyProtection="0"/>
    <xf numFmtId="9" fontId="6" fillId="0" borderId="0" applyFont="0" applyFill="0" applyBorder="0" applyAlignment="0" applyProtection="0"/>
    <xf numFmtId="9" fontId="12" fillId="0" borderId="0" applyFont="0" applyFill="0" applyBorder="0" applyAlignment="0" applyProtection="0"/>
    <xf numFmtId="9" fontId="9"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2" fillId="0" borderId="0" applyFont="0" applyFill="0" applyBorder="0" applyAlignment="0" applyProtection="0"/>
    <xf numFmtId="9" fontId="14" fillId="0" borderId="0" applyFont="0" applyFill="0" applyBorder="0" applyAlignment="0" applyProtection="0"/>
    <xf numFmtId="9" fontId="92" fillId="0" borderId="0" applyFont="0" applyFill="0" applyBorder="0" applyAlignment="0" applyProtection="0"/>
    <xf numFmtId="9" fontId="92" fillId="0" borderId="0" applyFont="0" applyFill="0" applyBorder="0" applyAlignment="0" applyProtection="0"/>
    <xf numFmtId="10" fontId="42" fillId="0" borderId="0" applyFill="0" applyBorder="0" applyAlignment="0" applyProtection="0"/>
    <xf numFmtId="0" fontId="7" fillId="15" borderId="7"/>
    <xf numFmtId="0" fontId="7" fillId="15" borderId="7"/>
    <xf numFmtId="0" fontId="7" fillId="15" borderId="7"/>
    <xf numFmtId="0" fontId="7" fillId="15" borderId="7"/>
    <xf numFmtId="0" fontId="7" fillId="15" borderId="7"/>
    <xf numFmtId="0" fontId="7" fillId="15" borderId="7"/>
    <xf numFmtId="0" fontId="7" fillId="15" borderId="7"/>
    <xf numFmtId="0" fontId="7" fillId="15" borderId="7"/>
    <xf numFmtId="0" fontId="7" fillId="15" borderId="7"/>
    <xf numFmtId="0" fontId="34" fillId="15" borderId="0">
      <alignment horizontal="right"/>
    </xf>
    <xf numFmtId="0" fontId="78" fillId="36" borderId="0">
      <alignment horizontal="center"/>
    </xf>
    <xf numFmtId="0" fontId="32" fillId="35" borderId="7">
      <alignment horizontal="left" vertical="top" wrapText="1"/>
    </xf>
    <xf numFmtId="0" fontId="79" fillId="35" borderId="26">
      <alignment horizontal="left" vertical="top" wrapText="1"/>
    </xf>
    <xf numFmtId="0" fontId="32" fillId="35" borderId="27">
      <alignment horizontal="left" vertical="top" wrapText="1"/>
    </xf>
    <xf numFmtId="0" fontId="32" fillId="35" borderId="26">
      <alignment horizontal="left" vertical="top"/>
    </xf>
    <xf numFmtId="0" fontId="80" fillId="10" borderId="0" applyNumberFormat="0" applyBorder="0" applyAlignment="0" applyProtection="0"/>
    <xf numFmtId="174" fontId="13" fillId="0" borderId="0"/>
    <xf numFmtId="0" fontId="14" fillId="0" borderId="20">
      <alignment horizontal="center" vertical="center"/>
    </xf>
    <xf numFmtId="174" fontId="14" fillId="0" borderId="0" applyNumberFormat="0" applyBorder="0" applyAlignment="0"/>
    <xf numFmtId="171" fontId="14" fillId="0" borderId="0" applyNumberFormat="0" applyBorder="0" applyAlignment="0"/>
    <xf numFmtId="0" fontId="81" fillId="17" borderId="25" applyNumberFormat="0" applyAlignment="0" applyProtection="0"/>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9" fillId="0" borderId="32" applyNumberFormat="0" applyFill="0" applyProtection="0">
      <alignment horizontal="left" vertical="center" wrapText="1"/>
    </xf>
    <xf numFmtId="187" fontId="9" fillId="0" borderId="32" applyFill="0" applyProtection="0">
      <alignment horizontal="right" vertical="center" wrapText="1"/>
    </xf>
    <xf numFmtId="0" fontId="9" fillId="0" borderId="0" applyNumberFormat="0" applyFill="0" applyBorder="0" applyProtection="0">
      <alignment horizontal="left" vertical="center" wrapText="1"/>
    </xf>
    <xf numFmtId="0" fontId="9" fillId="0" borderId="0" applyNumberFormat="0" applyFill="0" applyBorder="0" applyProtection="0">
      <alignment horizontal="left" vertical="center" wrapText="1"/>
    </xf>
    <xf numFmtId="187" fontId="9" fillId="0" borderId="0" applyFill="0" applyBorder="0" applyProtection="0">
      <alignment horizontal="right" vertical="center" wrapText="1"/>
    </xf>
    <xf numFmtId="188" fontId="9" fillId="0" borderId="0" applyFill="0" applyBorder="0" applyProtection="0">
      <alignment horizontal="right" vertical="center" wrapText="1"/>
    </xf>
    <xf numFmtId="0" fontId="9" fillId="0" borderId="33" applyNumberFormat="0" applyFill="0" applyProtection="0">
      <alignment horizontal="left" vertical="center" wrapText="1"/>
    </xf>
    <xf numFmtId="0" fontId="9" fillId="0" borderId="33" applyNumberFormat="0" applyFill="0" applyProtection="0">
      <alignment horizontal="left" vertical="center" wrapText="1"/>
    </xf>
    <xf numFmtId="187" fontId="9" fillId="0" borderId="33" applyFill="0" applyProtection="0">
      <alignment horizontal="right" vertical="center" wrapText="1"/>
    </xf>
    <xf numFmtId="0" fontId="9" fillId="0" borderId="0" applyNumberFormat="0" applyFill="0" applyBorder="0" applyProtection="0">
      <alignment vertical="center" wrapText="1"/>
    </xf>
    <xf numFmtId="0" fontId="9" fillId="0" borderId="0" applyNumberFormat="0" applyFill="0" applyBorder="0" applyAlignment="0" applyProtection="0"/>
    <xf numFmtId="0" fontId="57" fillId="0" borderId="0" applyNumberFormat="0" applyFill="0" applyBorder="0" applyProtection="0">
      <alignment horizontal="left" vertical="center" wrapText="1"/>
    </xf>
    <xf numFmtId="0" fontId="9" fillId="0" borderId="0" applyNumberFormat="0" applyFill="0" applyBorder="0" applyProtection="0">
      <alignment vertical="center" wrapText="1"/>
    </xf>
    <xf numFmtId="0" fontId="9" fillId="0" borderId="0" applyNumberFormat="0" applyFill="0" applyBorder="0" applyProtection="0">
      <alignment vertical="center" wrapText="1"/>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12" fillId="0" borderId="0" applyNumberFormat="0" applyFont="0" applyFill="0" applyBorder="0" applyProtection="0">
      <alignment horizontal="left" vertical="center"/>
    </xf>
    <xf numFmtId="0" fontId="52" fillId="0" borderId="0" applyNumberFormat="0" applyFill="0" applyBorder="0" applyProtection="0">
      <alignment horizontal="left" vertical="center" wrapText="1"/>
    </xf>
    <xf numFmtId="0" fontId="52" fillId="0" borderId="0" applyNumberFormat="0" applyFill="0" applyBorder="0" applyProtection="0">
      <alignment horizontal="left" vertical="center" wrapText="1"/>
    </xf>
    <xf numFmtId="0" fontId="82" fillId="0" borderId="0" applyNumberFormat="0" applyFill="0" applyBorder="0" applyProtection="0">
      <alignment vertical="center" wrapText="1"/>
    </xf>
    <xf numFmtId="0" fontId="12" fillId="0" borderId="34" applyNumberFormat="0" applyFont="0" applyFill="0" applyProtection="0">
      <alignment horizontal="center" vertical="center" wrapText="1"/>
    </xf>
    <xf numFmtId="0" fontId="12" fillId="0" borderId="34" applyNumberFormat="0" applyFont="0" applyFill="0" applyProtection="0">
      <alignment horizontal="center" vertical="center" wrapText="1"/>
    </xf>
    <xf numFmtId="0" fontId="12" fillId="0" borderId="34" applyNumberFormat="0" applyFont="0" applyFill="0" applyProtection="0">
      <alignment horizontal="center" vertical="center" wrapText="1"/>
    </xf>
    <xf numFmtId="0" fontId="12" fillId="0" borderId="34" applyNumberFormat="0" applyFont="0" applyFill="0" applyProtection="0">
      <alignment horizontal="center" vertical="center" wrapText="1"/>
    </xf>
    <xf numFmtId="0" fontId="12" fillId="0" borderId="34" applyNumberFormat="0" applyFont="0" applyFill="0" applyProtection="0">
      <alignment horizontal="center" vertical="center" wrapText="1"/>
    </xf>
    <xf numFmtId="0" fontId="12" fillId="0" borderId="34" applyNumberFormat="0" applyFont="0" applyFill="0" applyProtection="0">
      <alignment horizontal="center" vertical="center" wrapText="1"/>
    </xf>
    <xf numFmtId="0" fontId="12" fillId="0" borderId="34" applyNumberFormat="0" applyFont="0" applyFill="0" applyProtection="0">
      <alignment horizontal="center" vertical="center" wrapText="1"/>
    </xf>
    <xf numFmtId="0" fontId="12" fillId="0" borderId="34" applyNumberFormat="0" applyFont="0" applyFill="0" applyProtection="0">
      <alignment horizontal="center" vertical="center" wrapText="1"/>
    </xf>
    <xf numFmtId="0" fontId="12" fillId="0" borderId="34" applyNumberFormat="0" applyFont="0" applyFill="0" applyProtection="0">
      <alignment horizontal="center" vertical="center" wrapText="1"/>
    </xf>
    <xf numFmtId="0" fontId="12" fillId="0" borderId="34" applyNumberFormat="0" applyFont="0" applyFill="0" applyProtection="0">
      <alignment horizontal="center" vertical="center" wrapText="1"/>
    </xf>
    <xf numFmtId="0" fontId="52" fillId="0" borderId="34" applyNumberFormat="0" applyFill="0" applyProtection="0">
      <alignment horizontal="center" vertical="center" wrapText="1"/>
    </xf>
    <xf numFmtId="0" fontId="52" fillId="0" borderId="34" applyNumberFormat="0" applyFill="0" applyProtection="0">
      <alignment horizontal="center" vertical="center" wrapText="1"/>
    </xf>
    <xf numFmtId="0" fontId="52" fillId="0" borderId="34" applyNumberFormat="0" applyFill="0" applyProtection="0">
      <alignment horizontal="center" vertical="center" wrapText="1"/>
    </xf>
    <xf numFmtId="0" fontId="52" fillId="0" borderId="34" applyNumberFormat="0" applyFill="0" applyProtection="0">
      <alignment horizontal="center" vertical="center" wrapText="1"/>
    </xf>
    <xf numFmtId="0" fontId="9" fillId="0" borderId="32" applyNumberFormat="0" applyFill="0" applyProtection="0">
      <alignment horizontal="left" vertical="center" wrapText="1"/>
    </xf>
    <xf numFmtId="0" fontId="7" fillId="0" borderId="0"/>
    <xf numFmtId="0" fontId="9" fillId="0" borderId="0"/>
    <xf numFmtId="0" fontId="94" fillId="0" borderId="26" applyNumberFormat="0" applyFont="0" applyFill="0" applyBorder="0" applyProtection="0">
      <alignment horizontal="centerContinuous" vertical="center" wrapText="1"/>
    </xf>
    <xf numFmtId="0" fontId="83" fillId="39" borderId="0">
      <alignment horizontal="left"/>
    </xf>
    <xf numFmtId="0" fontId="58" fillId="39" borderId="0">
      <alignment horizontal="left" wrapText="1"/>
    </xf>
    <xf numFmtId="0" fontId="83" fillId="39" borderId="0">
      <alignment horizontal="left"/>
    </xf>
    <xf numFmtId="0" fontId="42" fillId="0" borderId="28" applyNumberFormat="0" applyFill="0" applyAlignment="0" applyProtection="0"/>
    <xf numFmtId="0" fontId="84" fillId="0" borderId="29"/>
    <xf numFmtId="0" fontId="85" fillId="0" borderId="0"/>
    <xf numFmtId="0" fontId="71" fillId="0" borderId="30" applyNumberFormat="0" applyAlignment="0">
      <alignment horizontal="left" wrapText="1"/>
    </xf>
    <xf numFmtId="0" fontId="33" fillId="15" borderId="0">
      <alignment horizontal="center"/>
    </xf>
    <xf numFmtId="0" fontId="86" fillId="0" borderId="0"/>
    <xf numFmtId="49" fontId="37" fillId="0" borderId="0" applyFill="0" applyBorder="0" applyAlignment="0" applyProtection="0">
      <alignment vertical="top"/>
    </xf>
    <xf numFmtId="0" fontId="87" fillId="0" borderId="0" applyNumberFormat="0" applyFill="0" applyBorder="0" applyAlignment="0" applyProtection="0"/>
    <xf numFmtId="0" fontId="15" fillId="15" borderId="0"/>
    <xf numFmtId="0" fontId="83" fillId="39" borderId="0">
      <alignment horizontal="left"/>
    </xf>
    <xf numFmtId="0" fontId="19" fillId="0" borderId="0" applyNumberFormat="0" applyFill="0" applyBorder="0" applyAlignment="0" applyProtection="0"/>
    <xf numFmtId="0" fontId="88" fillId="0" borderId="16" applyNumberFormat="0" applyFill="0" applyAlignment="0" applyProtection="0"/>
    <xf numFmtId="0" fontId="89" fillId="0" borderId="17" applyNumberFormat="0" applyFill="0" applyAlignment="0" applyProtection="0"/>
    <xf numFmtId="0" fontId="90" fillId="0" borderId="18" applyNumberFormat="0" applyFill="0" applyAlignment="0" applyProtection="0"/>
    <xf numFmtId="0" fontId="90" fillId="0" borderId="0" applyNumberFormat="0" applyFill="0" applyBorder="0" applyAlignment="0" applyProtection="0"/>
    <xf numFmtId="0" fontId="2" fillId="0" borderId="31" applyNumberForma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0" fontId="9" fillId="0" borderId="28" applyNumberFormat="0" applyFont="0" applyFill="0" applyAlignment="0" applyProtection="0"/>
    <xf numFmtId="165" fontId="14" fillId="0" borderId="0" applyFont="0" applyFill="0" applyBorder="0" applyAlignment="0" applyProtection="0"/>
    <xf numFmtId="189" fontId="16" fillId="0" borderId="0" applyFont="0" applyFill="0" applyBorder="0" applyAlignment="0" applyProtection="0"/>
    <xf numFmtId="167" fontId="14" fillId="0" borderId="0" applyFont="0" applyFill="0" applyBorder="0" applyAlignment="0" applyProtection="0"/>
    <xf numFmtId="0" fontId="93" fillId="2" borderId="1" applyNumberFormat="0" applyFont="0" applyAlignment="0" applyProtection="0"/>
    <xf numFmtId="164" fontId="14" fillId="0" borderId="0" applyFont="0" applyFill="0" applyBorder="0" applyAlignment="0" applyProtection="0"/>
    <xf numFmtId="166" fontId="14" fillId="0" borderId="0" applyFont="0" applyFill="0" applyBorder="0" applyAlignment="0" applyProtection="0"/>
    <xf numFmtId="0" fontId="91" fillId="29" borderId="13" applyNumberFormat="0" applyAlignment="0" applyProtection="0"/>
    <xf numFmtId="164" fontId="9" fillId="0" borderId="0" applyFont="0" applyFill="0" applyBorder="0" applyAlignment="0" applyProtection="0"/>
    <xf numFmtId="166" fontId="9" fillId="0" borderId="0" applyFont="0" applyFill="0" applyBorder="0" applyAlignment="0" applyProtection="0"/>
    <xf numFmtId="1" fontId="70" fillId="0" borderId="0">
      <alignment vertical="top" wrapText="1"/>
    </xf>
    <xf numFmtId="0" fontId="14" fillId="0" borderId="38">
      <alignment horizontal="center" vertical="center"/>
    </xf>
    <xf numFmtId="0" fontId="30" fillId="17" borderId="39" applyNumberFormat="0" applyAlignment="0" applyProtection="0"/>
    <xf numFmtId="0" fontId="7" fillId="0" borderId="37"/>
    <xf numFmtId="0" fontId="7" fillId="0" borderId="37"/>
    <xf numFmtId="0" fontId="7" fillId="0" borderId="37"/>
    <xf numFmtId="0" fontId="7" fillId="0" borderId="37"/>
    <xf numFmtId="0" fontId="7" fillId="0" borderId="37"/>
    <xf numFmtId="0" fontId="7" fillId="0" borderId="37"/>
    <xf numFmtId="0" fontId="7" fillId="0" borderId="37"/>
    <xf numFmtId="0" fontId="7" fillId="0" borderId="37"/>
    <xf numFmtId="0" fontId="7" fillId="0" borderId="37"/>
    <xf numFmtId="0" fontId="32" fillId="30" borderId="40">
      <alignment horizontal="left" vertical="top" wrapText="1"/>
    </xf>
    <xf numFmtId="0" fontId="12" fillId="32" borderId="41" applyNumberFormat="0" applyFont="0" applyAlignment="0" applyProtection="0"/>
    <xf numFmtId="0" fontId="46" fillId="17" borderId="39" applyNumberFormat="0" applyAlignment="0" applyProtection="0"/>
    <xf numFmtId="0" fontId="9" fillId="34" borderId="37"/>
    <xf numFmtId="0" fontId="6" fillId="15" borderId="37">
      <alignment horizontal="left"/>
    </xf>
    <xf numFmtId="0" fontId="52" fillId="0" borderId="38">
      <alignment horizontal="left" vertical="center"/>
    </xf>
    <xf numFmtId="10" fontId="7" fillId="34" borderId="37" applyNumberFormat="0" applyBorder="0" applyAlignment="0" applyProtection="0"/>
    <xf numFmtId="0" fontId="9" fillId="15" borderId="37">
      <alignment horizontal="centerContinuous" wrapText="1"/>
    </xf>
    <xf numFmtId="0" fontId="7" fillId="15" borderId="38">
      <alignment wrapText="1"/>
    </xf>
    <xf numFmtId="0" fontId="61" fillId="15" borderId="38">
      <alignment wrapText="1"/>
    </xf>
    <xf numFmtId="0" fontId="7" fillId="15" borderId="38">
      <alignment wrapText="1"/>
    </xf>
    <xf numFmtId="0" fontId="7" fillId="15" borderId="38">
      <alignment wrapText="1"/>
    </xf>
    <xf numFmtId="0" fontId="61" fillId="15" borderId="38">
      <alignment wrapText="1"/>
    </xf>
    <xf numFmtId="0" fontId="61" fillId="15" borderId="38">
      <alignment wrapText="1"/>
    </xf>
    <xf numFmtId="0" fontId="61" fillId="15" borderId="38">
      <alignment wrapText="1"/>
    </xf>
    <xf numFmtId="0" fontId="61" fillId="15" borderId="38">
      <alignment wrapText="1"/>
    </xf>
    <xf numFmtId="0" fontId="61" fillId="15" borderId="38">
      <alignment wrapText="1"/>
    </xf>
    <xf numFmtId="0" fontId="7" fillId="15" borderId="38">
      <alignment wrapText="1"/>
    </xf>
    <xf numFmtId="0" fontId="7" fillId="15" borderId="38">
      <alignment wrapText="1"/>
    </xf>
    <xf numFmtId="0" fontId="7" fillId="15" borderId="38">
      <alignment wrapText="1"/>
    </xf>
    <xf numFmtId="0" fontId="7" fillId="15" borderId="38">
      <alignment wrapText="1"/>
    </xf>
    <xf numFmtId="0" fontId="7" fillId="15" borderId="38">
      <alignment wrapText="1"/>
    </xf>
    <xf numFmtId="0" fontId="7" fillId="15" borderId="38">
      <alignment wrapText="1"/>
    </xf>
    <xf numFmtId="0" fontId="7" fillId="15" borderId="38">
      <alignment wrapText="1"/>
    </xf>
    <xf numFmtId="0" fontId="32" fillId="30" borderId="42">
      <alignment horizontal="left" vertical="top" wrapText="1"/>
    </xf>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12" fillId="32" borderId="41" applyNumberFormat="0" applyFont="0" applyAlignment="0" applyProtection="0"/>
    <xf numFmtId="0" fontId="7" fillId="15" borderId="37"/>
    <xf numFmtId="0" fontId="7" fillId="15" borderId="37"/>
    <xf numFmtId="0" fontId="7" fillId="15" borderId="37"/>
    <xf numFmtId="0" fontId="7" fillId="15" borderId="37"/>
    <xf numFmtId="0" fontId="7" fillId="15" borderId="37"/>
    <xf numFmtId="0" fontId="7" fillId="15" borderId="37"/>
    <xf numFmtId="0" fontId="7" fillId="15" borderId="37"/>
    <xf numFmtId="0" fontId="7" fillId="15" borderId="37"/>
    <xf numFmtId="0" fontId="7" fillId="15" borderId="37"/>
    <xf numFmtId="0" fontId="32" fillId="35" borderId="37">
      <alignment horizontal="left" vertical="top" wrapText="1"/>
    </xf>
    <xf numFmtId="0" fontId="79" fillId="35" borderId="44">
      <alignment horizontal="left" vertical="top" wrapText="1"/>
    </xf>
    <xf numFmtId="0" fontId="32" fillId="35" borderId="45">
      <alignment horizontal="left" vertical="top" wrapText="1"/>
    </xf>
    <xf numFmtId="0" fontId="32" fillId="35" borderId="44">
      <alignment horizontal="left" vertical="top"/>
    </xf>
    <xf numFmtId="0" fontId="81" fillId="17" borderId="43" applyNumberFormat="0" applyAlignment="0" applyProtection="0"/>
    <xf numFmtId="0" fontId="94" fillId="0" borderId="44" applyNumberFormat="0" applyFont="0" applyFill="0" applyBorder="0" applyProtection="0">
      <alignment horizontal="centerContinuous" vertical="center" wrapText="1"/>
    </xf>
    <xf numFmtId="0" fontId="2" fillId="0" borderId="46" applyNumberFormat="0" applyFill="0" applyAlignment="0" applyProtection="0"/>
    <xf numFmtId="0" fontId="10" fillId="0" borderId="0" applyNumberFormat="0" applyFill="0" applyBorder="0" applyAlignment="0" applyProtection="0"/>
    <xf numFmtId="0" fontId="16" fillId="0" borderId="0"/>
  </cellStyleXfs>
  <cellXfs count="235">
    <xf numFmtId="0" fontId="0" fillId="0" borderId="0" xfId="0"/>
    <xf numFmtId="169" fontId="4" fillId="0" borderId="0" xfId="0" applyNumberFormat="1" applyFont="1" applyAlignment="1">
      <alignment horizontal="center" vertical="center"/>
    </xf>
    <xf numFmtId="169" fontId="5" fillId="6" borderId="2" xfId="0" applyNumberFormat="1" applyFont="1" applyFill="1" applyBorder="1" applyAlignment="1">
      <alignment horizontal="center" vertical="top"/>
    </xf>
    <xf numFmtId="169" fontId="6" fillId="0" borderId="0" xfId="0" applyNumberFormat="1" applyFont="1" applyAlignment="1">
      <alignment horizontal="center" vertical="top"/>
    </xf>
    <xf numFmtId="169" fontId="5" fillId="6" borderId="0" xfId="0" applyNumberFormat="1" applyFont="1" applyFill="1" applyAlignment="1">
      <alignment horizontal="center" vertical="top"/>
    </xf>
    <xf numFmtId="169" fontId="5" fillId="7" borderId="2" xfId="0" applyNumberFormat="1" applyFont="1" applyFill="1" applyBorder="1" applyAlignment="1">
      <alignment horizontal="center" vertical="top"/>
    </xf>
    <xf numFmtId="1" fontId="5" fillId="6" borderId="2" xfId="0" applyNumberFormat="1" applyFont="1" applyFill="1" applyBorder="1" applyAlignment="1">
      <alignment horizontal="left" vertical="top" wrapText="1"/>
    </xf>
    <xf numFmtId="1" fontId="6" fillId="0" borderId="0" xfId="0" quotePrefix="1" applyNumberFormat="1" applyFont="1" applyAlignment="1">
      <alignment horizontal="left" vertical="top" wrapText="1"/>
    </xf>
    <xf numFmtId="1" fontId="7" fillId="0" borderId="0" xfId="0" applyNumberFormat="1" applyFont="1" applyAlignment="1">
      <alignment horizontal="left" vertical="top" wrapText="1"/>
    </xf>
    <xf numFmtId="1" fontId="5" fillId="6" borderId="0" xfId="0" applyNumberFormat="1" applyFont="1" applyFill="1" applyAlignment="1">
      <alignment horizontal="left" vertical="top" wrapText="1"/>
    </xf>
    <xf numFmtId="1" fontId="6" fillId="0" borderId="0" xfId="0" applyNumberFormat="1" applyFont="1" applyAlignment="1">
      <alignment horizontal="left" vertical="top" wrapText="1"/>
    </xf>
    <xf numFmtId="0" fontId="5" fillId="7" borderId="2" xfId="0" applyFont="1" applyFill="1" applyBorder="1" applyAlignment="1">
      <alignment horizontal="left" vertical="top" wrapText="1"/>
    </xf>
    <xf numFmtId="169" fontId="5" fillId="6" borderId="36" xfId="0" applyNumberFormat="1" applyFont="1" applyFill="1" applyBorder="1" applyAlignment="1">
      <alignment horizontal="center" vertical="top"/>
    </xf>
    <xf numFmtId="0" fontId="5" fillId="7" borderId="35" xfId="0" applyFont="1" applyFill="1" applyBorder="1" applyAlignment="1">
      <alignment horizontal="left" vertical="top" wrapText="1"/>
    </xf>
    <xf numFmtId="1" fontId="5" fillId="6" borderId="35" xfId="0" applyNumberFormat="1" applyFont="1" applyFill="1" applyBorder="1" applyAlignment="1">
      <alignment horizontal="left" vertical="top" wrapText="1"/>
    </xf>
    <xf numFmtId="0" fontId="0" fillId="6" borderId="2" xfId="0" applyFill="1" applyBorder="1" applyAlignment="1">
      <alignment horizontal="left" vertical="top" wrapText="1"/>
    </xf>
    <xf numFmtId="0" fontId="7" fillId="6" borderId="2" xfId="0" applyFont="1" applyFill="1" applyBorder="1" applyAlignment="1">
      <alignment vertical="top" wrapText="1"/>
    </xf>
    <xf numFmtId="1" fontId="7" fillId="0" borderId="4" xfId="0" applyNumberFormat="1" applyFont="1" applyBorder="1" applyAlignment="1">
      <alignment horizontal="left" vertical="top" wrapText="1"/>
    </xf>
    <xf numFmtId="0" fontId="5" fillId="7" borderId="5" xfId="0" applyFont="1" applyFill="1" applyBorder="1" applyAlignment="1">
      <alignment horizontal="left" vertical="top" wrapText="1"/>
    </xf>
    <xf numFmtId="1" fontId="6" fillId="0" borderId="4" xfId="0" applyNumberFormat="1" applyFont="1" applyBorder="1" applyAlignment="1">
      <alignment horizontal="left" vertical="top" wrapText="1"/>
    </xf>
    <xf numFmtId="1" fontId="5" fillId="6" borderId="4" xfId="0" applyNumberFormat="1" applyFont="1" applyFill="1" applyBorder="1" applyAlignment="1">
      <alignment horizontal="left" vertical="top" wrapText="1"/>
    </xf>
    <xf numFmtId="1" fontId="6" fillId="0" borderId="4" xfId="0" quotePrefix="1" applyNumberFormat="1" applyFont="1" applyBorder="1" applyAlignment="1">
      <alignment horizontal="left" vertical="top" wrapText="1"/>
    </xf>
    <xf numFmtId="1" fontId="5" fillId="6" borderId="5" xfId="0" applyNumberFormat="1" applyFont="1" applyFill="1" applyBorder="1" applyAlignment="1">
      <alignment horizontal="left" vertical="top" wrapText="1"/>
    </xf>
    <xf numFmtId="1" fontId="8" fillId="0" borderId="0" xfId="0" applyNumberFormat="1" applyFont="1"/>
    <xf numFmtId="3" fontId="8" fillId="0" borderId="0" xfId="0" applyNumberFormat="1" applyFont="1"/>
    <xf numFmtId="0" fontId="8" fillId="0" borderId="0" xfId="0" applyFont="1"/>
    <xf numFmtId="0" fontId="4" fillId="0" borderId="0" xfId="0" applyFont="1" applyAlignment="1">
      <alignment horizontal="center" vertical="center" wrapText="1"/>
    </xf>
    <xf numFmtId="0" fontId="4" fillId="0" borderId="0" xfId="0" applyFont="1" applyAlignment="1">
      <alignment horizontal="center" vertical="center"/>
    </xf>
    <xf numFmtId="169" fontId="6" fillId="0" borderId="0" xfId="0" applyNumberFormat="1" applyFont="1" applyAlignment="1">
      <alignment horizontal="left" vertical="top"/>
    </xf>
    <xf numFmtId="0" fontId="0" fillId="0" borderId="0" xfId="0" applyAlignment="1">
      <alignment horizontal="left" vertical="top"/>
    </xf>
    <xf numFmtId="0" fontId="0" fillId="6" borderId="2" xfId="0" applyFill="1" applyBorder="1" applyAlignment="1">
      <alignment vertical="top"/>
    </xf>
    <xf numFmtId="1" fontId="5" fillId="6" borderId="36" xfId="0" applyNumberFormat="1" applyFont="1" applyFill="1" applyBorder="1" applyAlignment="1">
      <alignment horizontal="left" vertical="top" wrapText="1"/>
    </xf>
    <xf numFmtId="169" fontId="5" fillId="6" borderId="36" xfId="0" applyNumberFormat="1" applyFont="1" applyFill="1" applyBorder="1" applyAlignment="1">
      <alignment horizontal="left" vertical="top"/>
    </xf>
    <xf numFmtId="0" fontId="2" fillId="0" borderId="0" xfId="0" applyFont="1" applyAlignment="1">
      <alignment horizontal="left" vertical="top"/>
    </xf>
    <xf numFmtId="0" fontId="99" fillId="0" borderId="0" xfId="0" applyFont="1" applyAlignment="1">
      <alignment horizontal="left" vertical="top" wrapText="1"/>
    </xf>
    <xf numFmtId="169" fontId="5" fillId="6" borderId="0" xfId="0" applyNumberFormat="1" applyFont="1" applyFill="1" applyAlignment="1">
      <alignment horizontal="left" vertical="top"/>
    </xf>
    <xf numFmtId="0" fontId="0" fillId="6" borderId="2" xfId="0" applyFill="1" applyBorder="1" applyAlignment="1">
      <alignment horizontal="left" vertical="top"/>
    </xf>
    <xf numFmtId="3" fontId="8" fillId="0" borderId="0" xfId="0" applyNumberFormat="1" applyFont="1" applyAlignment="1">
      <alignment horizontal="left" vertical="top" wrapText="1"/>
    </xf>
    <xf numFmtId="1" fontId="4" fillId="6" borderId="2" xfId="0" applyNumberFormat="1" applyFont="1" applyFill="1" applyBorder="1" applyAlignment="1">
      <alignment horizontal="center"/>
    </xf>
    <xf numFmtId="1" fontId="4" fillId="6" borderId="2" xfId="0" applyNumberFormat="1" applyFont="1" applyFill="1" applyBorder="1" applyAlignment="1">
      <alignment horizontal="center" vertical="center"/>
    </xf>
    <xf numFmtId="1" fontId="8" fillId="0" borderId="0" xfId="0" applyNumberFormat="1" applyFont="1" applyAlignment="1">
      <alignment horizontal="center"/>
    </xf>
    <xf numFmtId="1" fontId="0" fillId="0" borderId="0" xfId="0" applyNumberFormat="1" applyAlignment="1">
      <alignment horizontal="center"/>
    </xf>
    <xf numFmtId="1" fontId="4" fillId="6" borderId="0" xfId="0" applyNumberFormat="1" applyFont="1" applyFill="1" applyAlignment="1">
      <alignment horizontal="center"/>
    </xf>
    <xf numFmtId="1" fontId="4" fillId="6" borderId="0" xfId="0" applyNumberFormat="1" applyFont="1" applyFill="1" applyAlignment="1">
      <alignment horizontal="center" vertical="center"/>
    </xf>
    <xf numFmtId="0" fontId="8" fillId="0" borderId="0" xfId="0" applyFont="1" applyAlignment="1">
      <alignment horizontal="center" vertical="center"/>
    </xf>
    <xf numFmtId="1" fontId="4" fillId="7" borderId="2" xfId="0" applyNumberFormat="1" applyFont="1" applyFill="1" applyBorder="1" applyAlignment="1">
      <alignment horizontal="center"/>
    </xf>
    <xf numFmtId="1" fontId="4" fillId="7" borderId="2" xfId="0" applyNumberFormat="1" applyFont="1" applyFill="1" applyBorder="1" applyAlignment="1">
      <alignment horizontal="center" vertical="center"/>
    </xf>
    <xf numFmtId="0" fontId="4" fillId="7" borderId="2" xfId="0" applyFont="1" applyFill="1" applyBorder="1" applyAlignment="1">
      <alignment horizontal="center" vertical="center"/>
    </xf>
    <xf numFmtId="0" fontId="0" fillId="0" borderId="0" xfId="0" applyAlignment="1">
      <alignment horizontal="center"/>
    </xf>
    <xf numFmtId="0" fontId="8" fillId="0" borderId="0" xfId="0" applyFont="1" applyAlignment="1">
      <alignment vertical="top" wrapText="1"/>
    </xf>
    <xf numFmtId="0" fontId="101" fillId="0" borderId="4" xfId="0" applyFont="1" applyBorder="1" applyAlignment="1">
      <alignment horizontal="left"/>
    </xf>
    <xf numFmtId="1" fontId="4" fillId="6" borderId="36" xfId="0" applyNumberFormat="1" applyFont="1" applyFill="1" applyBorder="1" applyAlignment="1">
      <alignment horizontal="center"/>
    </xf>
    <xf numFmtId="1" fontId="4" fillId="6" borderId="36" xfId="0" applyNumberFormat="1" applyFont="1" applyFill="1" applyBorder="1" applyAlignment="1">
      <alignment horizontal="center" vertical="center"/>
    </xf>
    <xf numFmtId="1" fontId="4" fillId="6" borderId="47" xfId="0" applyNumberFormat="1" applyFont="1" applyFill="1" applyBorder="1" applyAlignment="1">
      <alignment horizontal="center"/>
    </xf>
    <xf numFmtId="1" fontId="4" fillId="7" borderId="36" xfId="0" applyNumberFormat="1" applyFont="1" applyFill="1" applyBorder="1" applyAlignment="1">
      <alignment horizontal="center"/>
    </xf>
    <xf numFmtId="1" fontId="4" fillId="7" borderId="36" xfId="0" applyNumberFormat="1" applyFont="1" applyFill="1" applyBorder="1" applyAlignment="1">
      <alignment horizontal="center" vertical="center"/>
    </xf>
    <xf numFmtId="0" fontId="4" fillId="7" borderId="36" xfId="0" applyFont="1" applyFill="1" applyBorder="1" applyAlignment="1">
      <alignment horizontal="center" vertical="center"/>
    </xf>
    <xf numFmtId="1" fontId="4" fillId="7" borderId="47" xfId="0" applyNumberFormat="1" applyFont="1" applyFill="1" applyBorder="1" applyAlignment="1">
      <alignment horizontal="center"/>
    </xf>
    <xf numFmtId="1" fontId="103" fillId="0" borderId="0" xfId="0" quotePrefix="1" applyNumberFormat="1" applyFont="1" applyAlignment="1">
      <alignment horizontal="left" vertical="top" wrapText="1"/>
    </xf>
    <xf numFmtId="49" fontId="102" fillId="0" borderId="0" xfId="0" applyNumberFormat="1" applyFont="1" applyAlignment="1">
      <alignment vertical="top" wrapText="1"/>
    </xf>
    <xf numFmtId="1" fontId="104" fillId="0" borderId="0" xfId="0" applyNumberFormat="1" applyFont="1" applyAlignment="1">
      <alignment horizontal="left" vertical="top" wrapText="1"/>
    </xf>
    <xf numFmtId="0" fontId="102" fillId="0" borderId="0" xfId="0" applyFont="1" applyAlignment="1">
      <alignment horizontal="left" vertical="top"/>
    </xf>
    <xf numFmtId="1" fontId="105" fillId="6" borderId="0" xfId="0" applyNumberFormat="1" applyFont="1" applyFill="1" applyAlignment="1">
      <alignment horizontal="left" vertical="top" wrapText="1"/>
    </xf>
    <xf numFmtId="0" fontId="102" fillId="6" borderId="0" xfId="0" applyFont="1" applyFill="1" applyAlignment="1">
      <alignment horizontal="left" vertical="top" wrapText="1"/>
    </xf>
    <xf numFmtId="0" fontId="102" fillId="6" borderId="0" xfId="0" applyFont="1" applyFill="1" applyAlignment="1">
      <alignment vertical="top" wrapText="1"/>
    </xf>
    <xf numFmtId="49" fontId="102" fillId="6" borderId="0" xfId="0" applyNumberFormat="1" applyFont="1" applyFill="1" applyAlignment="1">
      <alignment vertical="top" wrapText="1"/>
    </xf>
    <xf numFmtId="1" fontId="103" fillId="0" borderId="0" xfId="0" applyNumberFormat="1" applyFont="1" applyAlignment="1">
      <alignment horizontal="left" vertical="top" wrapText="1"/>
    </xf>
    <xf numFmtId="1" fontId="8" fillId="0" borderId="0" xfId="0" applyNumberFormat="1" applyFont="1" applyAlignment="1">
      <alignment horizontal="center" vertical="center"/>
    </xf>
    <xf numFmtId="0" fontId="102" fillId="0" borderId="0" xfId="0" applyFont="1" applyAlignment="1">
      <alignment vertical="top" wrapText="1"/>
    </xf>
    <xf numFmtId="0" fontId="108" fillId="27" borderId="0" xfId="0" applyFont="1" applyFill="1" applyAlignment="1">
      <alignment horizontal="left"/>
    </xf>
    <xf numFmtId="0" fontId="109" fillId="27" borderId="0" xfId="0" applyFont="1" applyFill="1" applyAlignment="1">
      <alignment horizontal="left"/>
    </xf>
    <xf numFmtId="0" fontId="0" fillId="27" borderId="0" xfId="0" applyFill="1"/>
    <xf numFmtId="0" fontId="110" fillId="27" borderId="0" xfId="0" applyFont="1" applyFill="1"/>
    <xf numFmtId="0" fontId="0" fillId="34" borderId="48" xfId="0" applyFill="1" applyBorder="1" applyAlignment="1">
      <alignment horizontal="left"/>
    </xf>
    <xf numFmtId="0" fontId="10" fillId="34" borderId="48" xfId="1200" applyFill="1" applyBorder="1" applyAlignment="1" applyProtection="1"/>
    <xf numFmtId="0" fontId="0" fillId="0" borderId="49" xfId="0" applyBorder="1"/>
    <xf numFmtId="0" fontId="0" fillId="0" borderId="47" xfId="0" applyBorder="1"/>
    <xf numFmtId="0" fontId="0" fillId="0" borderId="51" xfId="0" applyBorder="1"/>
    <xf numFmtId="0" fontId="0" fillId="0" borderId="52" xfId="0" applyBorder="1"/>
    <xf numFmtId="0" fontId="0" fillId="0" borderId="53" xfId="0" applyBorder="1"/>
    <xf numFmtId="0" fontId="0" fillId="0" borderId="20" xfId="0" applyBorder="1"/>
    <xf numFmtId="0" fontId="111" fillId="27" borderId="0" xfId="0" applyFont="1" applyFill="1"/>
    <xf numFmtId="0" fontId="10" fillId="34" borderId="48" xfId="2358" applyFill="1" applyBorder="1" applyAlignment="1" applyProtection="1"/>
    <xf numFmtId="0" fontId="10" fillId="0" borderId="21" xfId="2358" applyFill="1" applyBorder="1" applyAlignment="1" applyProtection="1"/>
    <xf numFmtId="0" fontId="10" fillId="0" borderId="48" xfId="2358" applyFill="1" applyBorder="1" applyAlignment="1" applyProtection="1"/>
    <xf numFmtId="0" fontId="10" fillId="0" borderId="50" xfId="2358" applyFill="1" applyBorder="1" applyAlignment="1" applyProtection="1"/>
    <xf numFmtId="0" fontId="6" fillId="0" borderId="0" xfId="0" applyFont="1"/>
    <xf numFmtId="0" fontId="6" fillId="0" borderId="0" xfId="0" applyFont="1" applyAlignment="1">
      <alignment horizontal="center" vertical="center"/>
    </xf>
    <xf numFmtId="1" fontId="113" fillId="0" borderId="0" xfId="0" applyNumberFormat="1" applyFont="1" applyAlignment="1">
      <alignment horizontal="center" vertical="center"/>
    </xf>
    <xf numFmtId="0" fontId="7" fillId="0" borderId="0" xfId="0" applyFont="1" applyAlignment="1">
      <alignment horizontal="center" vertical="center"/>
    </xf>
    <xf numFmtId="1" fontId="7" fillId="0" borderId="0" xfId="0" applyNumberFormat="1" applyFont="1" applyAlignment="1">
      <alignment horizontal="center" vertical="center" wrapText="1"/>
    </xf>
    <xf numFmtId="0" fontId="114" fillId="0" borderId="0" xfId="0" applyFont="1" applyAlignment="1">
      <alignment horizontal="center" vertical="center"/>
    </xf>
    <xf numFmtId="0" fontId="112" fillId="0" borderId="0" xfId="0" applyFont="1" applyAlignment="1">
      <alignment horizontal="left" vertical="center"/>
    </xf>
    <xf numFmtId="1" fontId="6" fillId="0" borderId="0" xfId="0" applyNumberFormat="1" applyFont="1"/>
    <xf numFmtId="169" fontId="6" fillId="0" borderId="0" xfId="0" applyNumberFormat="1" applyFont="1" applyAlignment="1">
      <alignment horizontal="center" vertical="center"/>
    </xf>
    <xf numFmtId="0" fontId="113" fillId="0" borderId="0" xfId="0" applyFont="1" applyAlignment="1">
      <alignment horizontal="center" vertical="center"/>
    </xf>
    <xf numFmtId="2" fontId="6" fillId="0" borderId="0" xfId="0" applyNumberFormat="1" applyFont="1" applyAlignment="1">
      <alignment horizontal="center" vertical="center"/>
    </xf>
    <xf numFmtId="0" fontId="102" fillId="0" borderId="0" xfId="0" applyFont="1" applyAlignment="1">
      <alignment horizontal="left" vertical="top" wrapText="1"/>
    </xf>
    <xf numFmtId="0" fontId="99" fillId="0" borderId="0" xfId="0" applyFont="1" applyAlignment="1">
      <alignment vertical="top" wrapText="1"/>
    </xf>
    <xf numFmtId="0" fontId="0" fillId="0" borderId="0" xfId="0" applyAlignment="1">
      <alignment horizontal="center" vertical="center"/>
    </xf>
    <xf numFmtId="1" fontId="4" fillId="6" borderId="49" xfId="0" applyNumberFormat="1" applyFont="1" applyFill="1" applyBorder="1" applyAlignment="1">
      <alignment horizontal="center" vertical="center"/>
    </xf>
    <xf numFmtId="1" fontId="8" fillId="0" borderId="3" xfId="0" applyNumberFormat="1" applyFont="1" applyBorder="1" applyAlignment="1">
      <alignment horizontal="center" vertical="center"/>
    </xf>
    <xf numFmtId="1" fontId="4" fillId="6" borderId="3" xfId="0" applyNumberFormat="1" applyFont="1" applyFill="1" applyBorder="1" applyAlignment="1">
      <alignment horizontal="center" vertical="center"/>
    </xf>
    <xf numFmtId="1" fontId="4" fillId="7" borderId="49" xfId="0" applyNumberFormat="1" applyFont="1" applyFill="1" applyBorder="1" applyAlignment="1">
      <alignment horizontal="center" vertical="center"/>
    </xf>
    <xf numFmtId="0" fontId="102" fillId="40" borderId="2" xfId="0" applyFont="1" applyFill="1" applyBorder="1" applyAlignment="1">
      <alignment horizontal="left" vertical="top" wrapText="1"/>
    </xf>
    <xf numFmtId="0" fontId="102" fillId="40" borderId="2" xfId="0" applyFont="1" applyFill="1" applyBorder="1" applyAlignment="1">
      <alignment vertical="top" wrapText="1"/>
    </xf>
    <xf numFmtId="3" fontId="102" fillId="40" borderId="2" xfId="0" applyNumberFormat="1" applyFont="1" applyFill="1" applyBorder="1" applyAlignment="1">
      <alignment vertical="top" wrapText="1"/>
    </xf>
    <xf numFmtId="0" fontId="115" fillId="0" borderId="0" xfId="0" applyFont="1"/>
    <xf numFmtId="3" fontId="102" fillId="0" borderId="0" xfId="0" applyNumberFormat="1" applyFont="1" applyAlignment="1">
      <alignment horizontal="left" vertical="top" wrapText="1"/>
    </xf>
    <xf numFmtId="0" fontId="0" fillId="0" borderId="0" xfId="0" applyAlignment="1">
      <alignment vertical="top"/>
    </xf>
    <xf numFmtId="0" fontId="100" fillId="6" borderId="36" xfId="0" applyFont="1" applyFill="1" applyBorder="1" applyAlignment="1">
      <alignment vertical="top"/>
    </xf>
    <xf numFmtId="0" fontId="0" fillId="6" borderId="0" xfId="0" applyFill="1" applyAlignment="1">
      <alignment vertical="top"/>
    </xf>
    <xf numFmtId="0" fontId="102" fillId="0" borderId="0" xfId="0" applyFont="1" applyAlignment="1">
      <alignment horizontal="justify" vertical="top"/>
    </xf>
    <xf numFmtId="0" fontId="102" fillId="0" borderId="0" xfId="0" applyFont="1" applyAlignment="1">
      <alignment vertical="top"/>
    </xf>
    <xf numFmtId="0" fontId="102" fillId="6" borderId="0" xfId="0" applyFont="1" applyFill="1" applyAlignment="1">
      <alignment vertical="top"/>
    </xf>
    <xf numFmtId="0" fontId="102" fillId="6" borderId="0" xfId="0" applyFont="1" applyFill="1" applyAlignment="1">
      <alignment horizontal="justify" vertical="top"/>
    </xf>
    <xf numFmtId="16" fontId="102" fillId="0" borderId="0" xfId="0" applyNumberFormat="1" applyFont="1" applyAlignment="1">
      <alignment horizontal="justify" vertical="top"/>
    </xf>
    <xf numFmtId="49" fontId="102" fillId="0" borderId="0" xfId="0" applyNumberFormat="1" applyFont="1" applyAlignment="1">
      <alignment vertical="top"/>
    </xf>
    <xf numFmtId="0" fontId="102" fillId="40" borderId="2" xfId="0" applyFont="1" applyFill="1" applyBorder="1" applyAlignment="1">
      <alignment vertical="top"/>
    </xf>
    <xf numFmtId="0" fontId="0" fillId="40" borderId="0" xfId="0" applyFill="1" applyAlignment="1">
      <alignment vertical="top"/>
    </xf>
    <xf numFmtId="17" fontId="102" fillId="0" borderId="0" xfId="0" applyNumberFormat="1" applyFont="1" applyAlignment="1">
      <alignment horizontal="justify" vertical="top"/>
    </xf>
    <xf numFmtId="1" fontId="8" fillId="0" borderId="0" xfId="0" applyNumberFormat="1" applyFont="1" applyAlignment="1">
      <alignment vertical="center"/>
    </xf>
    <xf numFmtId="0" fontId="102" fillId="0" borderId="0" xfId="0" applyFont="1" applyAlignment="1">
      <alignment horizontal="left" vertical="center" wrapText="1"/>
    </xf>
    <xf numFmtId="0" fontId="102" fillId="0" borderId="20" xfId="0" applyFont="1" applyBorder="1" applyAlignment="1">
      <alignment horizontal="left" vertical="center" wrapText="1"/>
    </xf>
    <xf numFmtId="0" fontId="0" fillId="0" borderId="0" xfId="0" applyAlignment="1">
      <alignment horizontal="left" vertical="center"/>
    </xf>
    <xf numFmtId="0" fontId="7" fillId="6" borderId="0" xfId="0" applyFont="1" applyFill="1" applyAlignment="1">
      <alignment horizontal="left" vertical="center" wrapText="1"/>
    </xf>
    <xf numFmtId="0" fontId="0" fillId="0" borderId="0" xfId="0" applyAlignment="1">
      <alignment horizontal="left" vertical="center" wrapText="1"/>
    </xf>
    <xf numFmtId="0" fontId="116" fillId="0" borderId="0" xfId="0" applyFont="1" applyAlignment="1">
      <alignment horizontal="left" vertical="top"/>
    </xf>
    <xf numFmtId="0" fontId="8" fillId="6" borderId="0" xfId="0" applyFont="1" applyFill="1" applyAlignment="1">
      <alignment horizontal="left" vertical="top" wrapText="1"/>
    </xf>
    <xf numFmtId="0" fontId="116" fillId="0" borderId="0" xfId="0" applyFont="1" applyAlignment="1">
      <alignment vertical="top"/>
    </xf>
    <xf numFmtId="0" fontId="0" fillId="0" borderId="0" xfId="0" applyAlignment="1">
      <alignment horizontal="left" vertical="top" wrapText="1"/>
    </xf>
    <xf numFmtId="0" fontId="109" fillId="41" borderId="0" xfId="0" applyFont="1" applyFill="1"/>
    <xf numFmtId="0" fontId="0" fillId="41" borderId="0" xfId="0" applyFill="1"/>
    <xf numFmtId="0" fontId="5" fillId="0" borderId="0" xfId="0" applyFont="1" applyAlignment="1">
      <alignment horizontal="left" vertical="top"/>
    </xf>
    <xf numFmtId="1" fontId="6" fillId="0" borderId="0" xfId="0" applyNumberFormat="1" applyFont="1" applyAlignment="1">
      <alignment horizontal="center" vertical="center"/>
    </xf>
    <xf numFmtId="0" fontId="6" fillId="34" borderId="0" xfId="0" applyFont="1" applyFill="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left" vertical="center" wrapText="1"/>
    </xf>
    <xf numFmtId="1" fontId="7" fillId="0" borderId="0" xfId="0" applyNumberFormat="1" applyFont="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center"/>
    </xf>
    <xf numFmtId="0" fontId="6" fillId="0" borderId="20" xfId="0" applyFont="1" applyBorder="1" applyAlignment="1">
      <alignment horizontal="center" vertical="center" wrapText="1"/>
    </xf>
    <xf numFmtId="0" fontId="7" fillId="0" borderId="20" xfId="0" applyFont="1" applyBorder="1" applyAlignment="1">
      <alignment horizontal="left" vertical="center" wrapText="1"/>
    </xf>
    <xf numFmtId="0" fontId="7" fillId="0" borderId="20" xfId="0" applyFont="1" applyBorder="1" applyAlignment="1">
      <alignment horizontal="center" vertical="center"/>
    </xf>
    <xf numFmtId="1" fontId="7" fillId="0" borderId="20" xfId="0" applyNumberFormat="1" applyFont="1" applyBorder="1" applyAlignment="1">
      <alignment horizontal="center" vertical="center"/>
    </xf>
    <xf numFmtId="0" fontId="5" fillId="42" borderId="0" xfId="0" applyFont="1" applyFill="1" applyAlignment="1">
      <alignment horizontal="center" vertical="top"/>
    </xf>
    <xf numFmtId="0" fontId="5" fillId="42" borderId="0" xfId="0" applyFont="1" applyFill="1" applyAlignment="1">
      <alignment horizontal="left" vertical="top" wrapText="1"/>
    </xf>
    <xf numFmtId="1" fontId="15" fillId="42" borderId="0" xfId="0" applyNumberFormat="1" applyFont="1" applyFill="1" applyAlignment="1">
      <alignment horizontal="center" vertical="center"/>
    </xf>
    <xf numFmtId="1" fontId="15" fillId="42" borderId="0" xfId="0" applyNumberFormat="1" applyFont="1" applyFill="1" applyAlignment="1">
      <alignment horizontal="center"/>
    </xf>
    <xf numFmtId="0" fontId="6" fillId="42" borderId="0" xfId="0" applyFont="1" applyFill="1"/>
    <xf numFmtId="0" fontId="6" fillId="0" borderId="0" xfId="0" applyFont="1" applyAlignment="1">
      <alignment horizontal="center" vertical="top"/>
    </xf>
    <xf numFmtId="0" fontId="6" fillId="0" borderId="0" xfId="0" quotePrefix="1" applyFont="1" applyAlignment="1">
      <alignment horizontal="left" vertical="top" wrapText="1"/>
    </xf>
    <xf numFmtId="1" fontId="7" fillId="0" borderId="0" xfId="0" applyNumberFormat="1" applyFont="1" applyAlignment="1">
      <alignment horizontal="center"/>
    </xf>
    <xf numFmtId="0" fontId="7" fillId="0" borderId="0" xfId="0" applyFont="1" applyAlignment="1">
      <alignment horizontal="left" vertical="top" wrapText="1"/>
    </xf>
    <xf numFmtId="1" fontId="7" fillId="42" borderId="0" xfId="0" applyNumberFormat="1" applyFont="1" applyFill="1" applyAlignment="1">
      <alignment horizontal="center"/>
    </xf>
    <xf numFmtId="0" fontId="6" fillId="0" borderId="0" xfId="0" applyFont="1" applyAlignment="1">
      <alignment horizontal="left" vertical="top" wrapText="1"/>
    </xf>
    <xf numFmtId="0" fontId="6" fillId="0" borderId="20" xfId="0" applyFont="1" applyBorder="1" applyAlignment="1">
      <alignment horizontal="center" vertical="top"/>
    </xf>
    <xf numFmtId="0" fontId="7" fillId="0" borderId="20" xfId="0" applyFont="1" applyBorder="1" applyAlignment="1">
      <alignment horizontal="left" vertical="top" wrapText="1"/>
    </xf>
    <xf numFmtId="1" fontId="15" fillId="42" borderId="2" xfId="0" applyNumberFormat="1" applyFont="1" applyFill="1" applyBorder="1" applyAlignment="1">
      <alignment horizontal="center" vertical="center"/>
    </xf>
    <xf numFmtId="1" fontId="15" fillId="42" borderId="2" xfId="0" applyNumberFormat="1" applyFont="1" applyFill="1" applyBorder="1" applyAlignment="1">
      <alignment horizontal="center"/>
    </xf>
    <xf numFmtId="0" fontId="117" fillId="0" borderId="0" xfId="0" applyFont="1" applyAlignment="1">
      <alignment vertical="top"/>
    </xf>
    <xf numFmtId="0" fontId="6" fillId="0" borderId="0" xfId="0" applyFont="1" applyAlignment="1">
      <alignment horizontal="left" vertical="top"/>
    </xf>
    <xf numFmtId="1" fontId="112" fillId="0" borderId="0" xfId="0" applyNumberFormat="1" applyFont="1" applyAlignment="1">
      <alignment horizontal="left" vertical="center"/>
    </xf>
    <xf numFmtId="0" fontId="6" fillId="0" borderId="0" xfId="0" applyFont="1" applyAlignment="1">
      <alignment vertical="top"/>
    </xf>
    <xf numFmtId="0" fontId="112" fillId="0" borderId="0" xfId="0" applyFont="1" applyAlignment="1">
      <alignment vertical="top"/>
    </xf>
    <xf numFmtId="0" fontId="5" fillId="0" borderId="0" xfId="0" applyFont="1" applyAlignment="1">
      <alignment vertical="top"/>
    </xf>
    <xf numFmtId="0" fontId="7" fillId="0" borderId="0" xfId="0" applyFont="1"/>
    <xf numFmtId="1" fontId="7" fillId="0" borderId="0" xfId="2359" applyNumberFormat="1" applyFont="1" applyAlignment="1">
      <alignment horizontal="center" vertical="center"/>
    </xf>
    <xf numFmtId="1" fontId="15" fillId="42" borderId="0" xfId="2359" applyNumberFormat="1" applyFont="1" applyFill="1" applyAlignment="1">
      <alignment horizontal="center" vertical="center"/>
    </xf>
    <xf numFmtId="1" fontId="7" fillId="0" borderId="20" xfId="0" applyNumberFormat="1" applyFont="1" applyBorder="1" applyAlignment="1">
      <alignment horizontal="center"/>
    </xf>
    <xf numFmtId="1" fontId="7" fillId="0" borderId="20" xfId="2359" applyNumberFormat="1" applyFont="1" applyBorder="1" applyAlignment="1">
      <alignment horizontal="center" vertical="center"/>
    </xf>
    <xf numFmtId="1" fontId="5" fillId="42" borderId="0" xfId="0" applyNumberFormat="1" applyFont="1" applyFill="1" applyAlignment="1">
      <alignment horizontal="center" vertical="center"/>
    </xf>
    <xf numFmtId="1" fontId="6" fillId="0" borderId="20" xfId="0" applyNumberFormat="1" applyFont="1" applyBorder="1" applyAlignment="1">
      <alignment horizontal="center" vertical="center"/>
    </xf>
    <xf numFmtId="0" fontId="7" fillId="0" borderId="20" xfId="0" applyFont="1" applyBorder="1" applyAlignment="1">
      <alignment horizontal="center" vertical="center" wrapText="1"/>
    </xf>
    <xf numFmtId="0" fontId="112" fillId="0" borderId="0" xfId="0" applyFont="1" applyAlignment="1">
      <alignment vertical="top" wrapText="1"/>
    </xf>
    <xf numFmtId="0" fontId="113" fillId="0" borderId="0" xfId="0" applyFont="1" applyAlignment="1">
      <alignment vertical="top" wrapText="1"/>
    </xf>
    <xf numFmtId="0" fontId="114" fillId="0" borderId="0" xfId="0" applyFont="1" applyAlignment="1">
      <alignment vertical="top"/>
    </xf>
    <xf numFmtId="0" fontId="4" fillId="0" borderId="3" xfId="0" applyFont="1" applyBorder="1" applyAlignment="1">
      <alignment horizontal="center" vertical="center" wrapText="1"/>
    </xf>
    <xf numFmtId="0" fontId="4" fillId="0" borderId="3" xfId="0" applyFont="1" applyBorder="1" applyAlignment="1">
      <alignment horizontal="center" vertical="center"/>
    </xf>
    <xf numFmtId="0" fontId="118" fillId="0" borderId="0" xfId="0" applyFont="1" applyAlignment="1">
      <alignment horizontal="left" vertical="top"/>
    </xf>
    <xf numFmtId="0" fontId="119" fillId="0" borderId="0" xfId="0" applyFont="1" applyAlignment="1">
      <alignment horizontal="left" vertical="top"/>
    </xf>
    <xf numFmtId="0" fontId="119" fillId="0" borderId="0" xfId="0" applyFont="1" applyAlignment="1">
      <alignment vertical="top"/>
    </xf>
    <xf numFmtId="0" fontId="120" fillId="43" borderId="0" xfId="0" applyFont="1" applyFill="1" applyAlignment="1">
      <alignment horizontal="left" vertical="top" wrapText="1"/>
    </xf>
    <xf numFmtId="0" fontId="123" fillId="0" borderId="0" xfId="0" applyFont="1" applyAlignment="1">
      <alignment vertical="top" wrapText="1"/>
    </xf>
    <xf numFmtId="0" fontId="122" fillId="43" borderId="0" xfId="0" applyFont="1" applyFill="1" applyAlignment="1">
      <alignment horizontal="center" vertical="top" wrapText="1"/>
    </xf>
    <xf numFmtId="1" fontId="15" fillId="0" borderId="0" xfId="0" applyNumberFormat="1" applyFont="1" applyAlignment="1">
      <alignment horizontal="center" vertical="center"/>
    </xf>
    <xf numFmtId="1" fontId="4" fillId="44" borderId="49" xfId="0" applyNumberFormat="1" applyFont="1" applyFill="1" applyBorder="1" applyAlignment="1">
      <alignment horizontal="center" vertical="center"/>
    </xf>
    <xf numFmtId="1" fontId="4" fillId="44" borderId="2" xfId="0" applyNumberFormat="1" applyFont="1" applyFill="1" applyBorder="1" applyAlignment="1">
      <alignment horizontal="center" vertical="center"/>
    </xf>
    <xf numFmtId="1" fontId="4" fillId="44" borderId="3" xfId="0" applyNumberFormat="1" applyFont="1" applyFill="1" applyBorder="1" applyAlignment="1">
      <alignment horizontal="center" vertical="center"/>
    </xf>
    <xf numFmtId="1" fontId="4" fillId="44" borderId="0" xfId="0" applyNumberFormat="1" applyFont="1" applyFill="1" applyAlignment="1">
      <alignment horizontal="center" vertical="center"/>
    </xf>
    <xf numFmtId="0" fontId="112" fillId="0" borderId="0" xfId="0" applyFont="1" applyAlignment="1">
      <alignment horizontal="center" vertical="top" wrapText="1"/>
    </xf>
    <xf numFmtId="0" fontId="112" fillId="0" borderId="0" xfId="0" applyFont="1" applyAlignment="1">
      <alignment horizontal="center" vertical="top"/>
    </xf>
    <xf numFmtId="1" fontId="112" fillId="0" borderId="0" xfId="0" applyNumberFormat="1" applyFont="1" applyAlignment="1">
      <alignment horizontal="center" vertical="top" wrapText="1"/>
    </xf>
    <xf numFmtId="0" fontId="123" fillId="0" borderId="0" xfId="0" applyFont="1" applyAlignment="1">
      <alignment horizontal="center" vertical="top" wrapText="1"/>
    </xf>
    <xf numFmtId="0" fontId="113" fillId="0" borderId="0" xfId="0" applyFont="1" applyAlignment="1">
      <alignment horizontal="center" vertical="top" wrapText="1"/>
    </xf>
    <xf numFmtId="0" fontId="114" fillId="0" borderId="0" xfId="0" applyFont="1" applyAlignment="1">
      <alignment horizontal="center" vertical="top"/>
    </xf>
    <xf numFmtId="0" fontId="6" fillId="0" borderId="0" xfId="0" applyFont="1" applyAlignment="1">
      <alignment horizontal="center"/>
    </xf>
    <xf numFmtId="1" fontId="4" fillId="44" borderId="2" xfId="0" applyNumberFormat="1" applyFont="1" applyFill="1" applyBorder="1" applyAlignment="1">
      <alignment horizontal="center"/>
    </xf>
    <xf numFmtId="1" fontId="4" fillId="44" borderId="0" xfId="0" applyNumberFormat="1" applyFont="1" applyFill="1" applyAlignment="1">
      <alignment horizontal="center"/>
    </xf>
    <xf numFmtId="1" fontId="8" fillId="0" borderId="20" xfId="0" applyNumberFormat="1" applyFont="1" applyBorder="1" applyAlignment="1">
      <alignment horizontal="center"/>
    </xf>
    <xf numFmtId="1" fontId="8" fillId="0" borderId="20" xfId="0" applyNumberFormat="1" applyFont="1" applyBorder="1" applyAlignment="1">
      <alignment horizontal="center" vertical="center"/>
    </xf>
    <xf numFmtId="0" fontId="5" fillId="42" borderId="5" xfId="0" applyFont="1" applyFill="1" applyBorder="1" applyAlignment="1">
      <alignment horizontal="left" vertical="top" wrapText="1"/>
    </xf>
    <xf numFmtId="0" fontId="6" fillId="0" borderId="4" xfId="0" quotePrefix="1" applyFont="1" applyBorder="1" applyAlignment="1">
      <alignment horizontal="left" vertical="top" wrapText="1"/>
    </xf>
    <xf numFmtId="0" fontId="7" fillId="0" borderId="4" xfId="0" applyFont="1" applyBorder="1" applyAlignment="1">
      <alignment horizontal="left" vertical="top" wrapText="1"/>
    </xf>
    <xf numFmtId="0" fontId="5" fillId="42" borderId="4" xfId="0" applyFont="1" applyFill="1" applyBorder="1" applyAlignment="1">
      <alignment horizontal="left" vertical="top" wrapText="1"/>
    </xf>
    <xf numFmtId="0" fontId="6" fillId="0" borderId="4" xfId="0" applyFont="1" applyBorder="1" applyAlignment="1">
      <alignment horizontal="left" vertical="top" wrapText="1"/>
    </xf>
    <xf numFmtId="0" fontId="7" fillId="0" borderId="54" xfId="0" applyFont="1" applyBorder="1" applyAlignment="1">
      <alignment horizontal="left" vertical="top" wrapText="1"/>
    </xf>
    <xf numFmtId="0" fontId="124" fillId="0" borderId="0" xfId="0" applyFont="1" applyAlignment="1">
      <alignment vertical="top" wrapText="1"/>
    </xf>
    <xf numFmtId="0" fontId="125" fillId="0" borderId="0" xfId="0" applyFont="1"/>
    <xf numFmtId="0" fontId="124" fillId="0" borderId="0" xfId="0" applyFont="1"/>
    <xf numFmtId="3" fontId="124" fillId="0" borderId="0" xfId="0" applyNumberFormat="1" applyFont="1" applyAlignment="1">
      <alignment horizontal="left" vertical="top" wrapText="1"/>
    </xf>
    <xf numFmtId="1" fontId="4" fillId="44" borderId="36" xfId="0" applyNumberFormat="1" applyFont="1" applyFill="1" applyBorder="1" applyAlignment="1">
      <alignment horizontal="center"/>
    </xf>
    <xf numFmtId="1" fontId="4" fillId="44" borderId="36" xfId="0" applyNumberFormat="1" applyFont="1" applyFill="1" applyBorder="1" applyAlignment="1">
      <alignment horizontal="center" vertical="center"/>
    </xf>
    <xf numFmtId="1" fontId="4" fillId="44" borderId="47" xfId="0" applyNumberFormat="1" applyFont="1" applyFill="1" applyBorder="1" applyAlignment="1">
      <alignment horizontal="center"/>
    </xf>
    <xf numFmtId="0" fontId="124" fillId="0" borderId="0" xfId="0" applyFont="1" applyAlignment="1">
      <alignment horizontal="center" vertical="top" wrapText="1"/>
    </xf>
    <xf numFmtId="3" fontId="124" fillId="0" borderId="0" xfId="0" applyNumberFormat="1" applyFont="1" applyAlignment="1">
      <alignment horizontal="center" vertical="top" wrapText="1"/>
    </xf>
    <xf numFmtId="0" fontId="125" fillId="0" borderId="0" xfId="0" applyFont="1" applyAlignment="1">
      <alignment horizontal="center" vertical="top"/>
    </xf>
    <xf numFmtId="0" fontId="124" fillId="0" borderId="0" xfId="0" applyFont="1" applyAlignment="1">
      <alignment horizontal="center" vertical="top"/>
    </xf>
    <xf numFmtId="0" fontId="122" fillId="43" borderId="0" xfId="0" applyFont="1" applyFill="1" applyAlignment="1">
      <alignment horizontal="left"/>
    </xf>
    <xf numFmtId="0" fontId="127" fillId="43" borderId="0" xfId="2358" applyFont="1" applyFill="1" applyBorder="1" applyAlignment="1" applyProtection="1"/>
    <xf numFmtId="0" fontId="122" fillId="43" borderId="0" xfId="0" applyFont="1" applyFill="1"/>
    <xf numFmtId="0" fontId="7" fillId="42" borderId="0" xfId="0" applyFont="1" applyFill="1" applyAlignment="1">
      <alignment horizontal="center"/>
    </xf>
    <xf numFmtId="0" fontId="121" fillId="43" borderId="0" xfId="0" applyFont="1" applyFill="1" applyAlignment="1">
      <alignment vertical="top" wrapText="1"/>
    </xf>
    <xf numFmtId="0" fontId="10" fillId="43" borderId="0" xfId="2358" applyFill="1" applyAlignment="1">
      <alignment vertical="top" wrapText="1"/>
    </xf>
    <xf numFmtId="0" fontId="2" fillId="0" borderId="0" xfId="0" applyFont="1" applyAlignment="1">
      <alignment horizontal="left" vertical="top" wrapText="1"/>
    </xf>
    <xf numFmtId="0" fontId="118" fillId="0" borderId="0" xfId="0" applyFont="1" applyAlignment="1">
      <alignment horizontal="left" vertical="top" wrapText="1"/>
    </xf>
    <xf numFmtId="0" fontId="9" fillId="45" borderId="55" xfId="0" applyFont="1" applyFill="1" applyBorder="1" applyAlignment="1">
      <alignment horizontal="left" vertical="center" wrapText="1"/>
    </xf>
    <xf numFmtId="0" fontId="122" fillId="43" borderId="0" xfId="0" applyFont="1" applyFill="1" applyAlignment="1">
      <alignment horizontal="left" vertical="top" wrapText="1"/>
    </xf>
    <xf numFmtId="0" fontId="121" fillId="43" borderId="0" xfId="0" applyFont="1" applyFill="1" applyAlignment="1">
      <alignment horizontal="left" vertical="top" wrapText="1"/>
    </xf>
    <xf numFmtId="0" fontId="122" fillId="43" borderId="2" xfId="0" applyFont="1" applyFill="1" applyBorder="1" applyAlignment="1">
      <alignment horizontal="left" wrapText="1"/>
    </xf>
    <xf numFmtId="1" fontId="8" fillId="0" borderId="0" xfId="0" applyNumberFormat="1" applyFont="1" applyAlignment="1">
      <alignment horizontal="center" vertical="center"/>
    </xf>
    <xf numFmtId="0" fontId="102" fillId="0" borderId="0" xfId="0" applyFont="1" applyAlignment="1">
      <alignment horizontal="left" vertical="top" wrapText="1"/>
    </xf>
    <xf numFmtId="0" fontId="102" fillId="0" borderId="0" xfId="0" applyFont="1" applyAlignment="1">
      <alignment horizontal="left" vertical="center" wrapText="1"/>
    </xf>
    <xf numFmtId="0" fontId="102" fillId="0" borderId="0" xfId="0" applyFont="1" applyAlignment="1">
      <alignment horizontal="left" vertical="top"/>
    </xf>
    <xf numFmtId="1" fontId="7" fillId="0" borderId="0" xfId="0" applyNumberFormat="1" applyFont="1" applyAlignment="1">
      <alignment horizontal="center" vertical="center"/>
    </xf>
  </cellXfs>
  <cellStyles count="2360">
    <cellStyle name="•\Ž¦Ï‚Ý‚ÌƒnƒCƒp[ƒŠƒ“ƒN" xfId="5" xr:uid="{00000000-0005-0000-0000-000000000000}"/>
    <cellStyle name="•W€_altxt0.XLS" xfId="6" xr:uid="{00000000-0005-0000-0000-000001000000}"/>
    <cellStyle name="20 % - Aksentti1 2" xfId="7" xr:uid="{00000000-0005-0000-0000-000002000000}"/>
    <cellStyle name="20 % - Aksentti2 2" xfId="8" xr:uid="{00000000-0005-0000-0000-000003000000}"/>
    <cellStyle name="20 % - Aksentti3 2" xfId="9" xr:uid="{00000000-0005-0000-0000-000004000000}"/>
    <cellStyle name="20 % - Aksentti4 2" xfId="10" xr:uid="{00000000-0005-0000-0000-000005000000}"/>
    <cellStyle name="20 % - Aksentti5 2" xfId="11" xr:uid="{00000000-0005-0000-0000-000006000000}"/>
    <cellStyle name="20 % - Aksentti6 2" xfId="12" xr:uid="{00000000-0005-0000-0000-000007000000}"/>
    <cellStyle name="20 % - Accent1" xfId="13" xr:uid="{00000000-0005-0000-0000-000008000000}"/>
    <cellStyle name="20 % - Accent2" xfId="14" xr:uid="{00000000-0005-0000-0000-000009000000}"/>
    <cellStyle name="20 % - Accent3" xfId="15" xr:uid="{00000000-0005-0000-0000-00000A000000}"/>
    <cellStyle name="20 % - Accent4" xfId="16" xr:uid="{00000000-0005-0000-0000-00000B000000}"/>
    <cellStyle name="20 % - Accent5" xfId="17" xr:uid="{00000000-0005-0000-0000-00000C000000}"/>
    <cellStyle name="20 % - Accent6" xfId="18" xr:uid="{00000000-0005-0000-0000-00000D000000}"/>
    <cellStyle name="20% - Accent1 2" xfId="19" xr:uid="{00000000-0005-0000-0000-00000E000000}"/>
    <cellStyle name="20% - Accent1 3" xfId="20" xr:uid="{00000000-0005-0000-0000-00000F000000}"/>
    <cellStyle name="20% - Accent1 4" xfId="21" xr:uid="{00000000-0005-0000-0000-000010000000}"/>
    <cellStyle name="20% - Accent2 2" xfId="22" xr:uid="{00000000-0005-0000-0000-000011000000}"/>
    <cellStyle name="20% - Accent2 3" xfId="23" xr:uid="{00000000-0005-0000-0000-000012000000}"/>
    <cellStyle name="20% - Accent2 4" xfId="24" xr:uid="{00000000-0005-0000-0000-000013000000}"/>
    <cellStyle name="20% - Accent3 2" xfId="25" xr:uid="{00000000-0005-0000-0000-000014000000}"/>
    <cellStyle name="20% - Accent3 3" xfId="26" xr:uid="{00000000-0005-0000-0000-000015000000}"/>
    <cellStyle name="20% - Accent3 4" xfId="27" xr:uid="{00000000-0005-0000-0000-000016000000}"/>
    <cellStyle name="20% - Accent4 2" xfId="28" xr:uid="{00000000-0005-0000-0000-000017000000}"/>
    <cellStyle name="20% - Accent4 3" xfId="29" xr:uid="{00000000-0005-0000-0000-000018000000}"/>
    <cellStyle name="20% - Accent4 4" xfId="30" xr:uid="{00000000-0005-0000-0000-000019000000}"/>
    <cellStyle name="20% - Accent5 2" xfId="31" xr:uid="{00000000-0005-0000-0000-00001A000000}"/>
    <cellStyle name="20% - Accent5 3" xfId="32" xr:uid="{00000000-0005-0000-0000-00001B000000}"/>
    <cellStyle name="20% - Accent5 4" xfId="33" xr:uid="{00000000-0005-0000-0000-00001C000000}"/>
    <cellStyle name="20% - Accent6 2" xfId="34" xr:uid="{00000000-0005-0000-0000-00001D000000}"/>
    <cellStyle name="20% - Accent6 3" xfId="35" xr:uid="{00000000-0005-0000-0000-00001E000000}"/>
    <cellStyle name="20% - Accent6 4" xfId="36" xr:uid="{00000000-0005-0000-0000-00001F000000}"/>
    <cellStyle name="40 % - Aksentti1 2" xfId="37" xr:uid="{00000000-0005-0000-0000-000020000000}"/>
    <cellStyle name="40 % - Aksentti2 2" xfId="38" xr:uid="{00000000-0005-0000-0000-000021000000}"/>
    <cellStyle name="40 % - Aksentti3 2" xfId="39" xr:uid="{00000000-0005-0000-0000-000022000000}"/>
    <cellStyle name="40 % - Aksentti4 2" xfId="40" xr:uid="{00000000-0005-0000-0000-000023000000}"/>
    <cellStyle name="40 % - Aksentti5 2" xfId="41" xr:uid="{00000000-0005-0000-0000-000024000000}"/>
    <cellStyle name="40 % - Aksentti6 2" xfId="42" xr:uid="{00000000-0005-0000-0000-000025000000}"/>
    <cellStyle name="40 % - Accent1" xfId="43" xr:uid="{00000000-0005-0000-0000-000026000000}"/>
    <cellStyle name="40 % - Accent2" xfId="44" xr:uid="{00000000-0005-0000-0000-000027000000}"/>
    <cellStyle name="40 % - Accent3" xfId="45" xr:uid="{00000000-0005-0000-0000-000028000000}"/>
    <cellStyle name="40 % - Accent4" xfId="46" xr:uid="{00000000-0005-0000-0000-000029000000}"/>
    <cellStyle name="40 % - Accent5" xfId="47" xr:uid="{00000000-0005-0000-0000-00002A000000}"/>
    <cellStyle name="40 % - Accent6" xfId="48" xr:uid="{00000000-0005-0000-0000-00002B000000}"/>
    <cellStyle name="40% - Accent1 2" xfId="49" xr:uid="{00000000-0005-0000-0000-00002C000000}"/>
    <cellStyle name="40% - Accent1 3" xfId="50" xr:uid="{00000000-0005-0000-0000-00002D000000}"/>
    <cellStyle name="40% - Accent1 4" xfId="51" xr:uid="{00000000-0005-0000-0000-00002E000000}"/>
    <cellStyle name="40% - Accent2 2" xfId="52" xr:uid="{00000000-0005-0000-0000-00002F000000}"/>
    <cellStyle name="40% - Accent2 3" xfId="53" xr:uid="{00000000-0005-0000-0000-000030000000}"/>
    <cellStyle name="40% - Accent2 4" xfId="54" xr:uid="{00000000-0005-0000-0000-000031000000}"/>
    <cellStyle name="40% - Accent3 2" xfId="55" xr:uid="{00000000-0005-0000-0000-000032000000}"/>
    <cellStyle name="40% - Accent3 3" xfId="56" xr:uid="{00000000-0005-0000-0000-000033000000}"/>
    <cellStyle name="40% - Accent3 4" xfId="57" xr:uid="{00000000-0005-0000-0000-000034000000}"/>
    <cellStyle name="40% - Accent4 2" xfId="58" xr:uid="{00000000-0005-0000-0000-000035000000}"/>
    <cellStyle name="40% - Accent4 3" xfId="59" xr:uid="{00000000-0005-0000-0000-000036000000}"/>
    <cellStyle name="40% - Accent4 4" xfId="60" xr:uid="{00000000-0005-0000-0000-000037000000}"/>
    <cellStyle name="40% - Accent5 2" xfId="61" xr:uid="{00000000-0005-0000-0000-000038000000}"/>
    <cellStyle name="40% - Accent5 3" xfId="62" xr:uid="{00000000-0005-0000-0000-000039000000}"/>
    <cellStyle name="40% - Accent5 4" xfId="63" xr:uid="{00000000-0005-0000-0000-00003A000000}"/>
    <cellStyle name="40% - Accent6 2" xfId="64" xr:uid="{00000000-0005-0000-0000-00003B000000}"/>
    <cellStyle name="40% - Accent6 3" xfId="65" xr:uid="{00000000-0005-0000-0000-00003C000000}"/>
    <cellStyle name="40% - Accent6 4" xfId="66" xr:uid="{00000000-0005-0000-0000-00003D000000}"/>
    <cellStyle name="60 % - Accent1" xfId="67" xr:uid="{00000000-0005-0000-0000-00003E000000}"/>
    <cellStyle name="60 % - Accent2" xfId="68" xr:uid="{00000000-0005-0000-0000-00003F000000}"/>
    <cellStyle name="60 % - Accent3" xfId="69" xr:uid="{00000000-0005-0000-0000-000040000000}"/>
    <cellStyle name="60 % - Accent4" xfId="70" xr:uid="{00000000-0005-0000-0000-000041000000}"/>
    <cellStyle name="60 % - Accent5" xfId="71" xr:uid="{00000000-0005-0000-0000-000042000000}"/>
    <cellStyle name="60 % - Accent6" xfId="72" xr:uid="{00000000-0005-0000-0000-000043000000}"/>
    <cellStyle name="a0" xfId="73" xr:uid="{00000000-0005-0000-0000-000044000000}"/>
    <cellStyle name="Accent1 2" xfId="74" xr:uid="{00000000-0005-0000-0000-000045000000}"/>
    <cellStyle name="Accent2 2" xfId="75" xr:uid="{00000000-0005-0000-0000-000046000000}"/>
    <cellStyle name="Accent3 2" xfId="76" xr:uid="{00000000-0005-0000-0000-000047000000}"/>
    <cellStyle name="Accent4 2" xfId="77" xr:uid="{00000000-0005-0000-0000-000048000000}"/>
    <cellStyle name="Accent5" xfId="1" builtinId="45" customBuiltin="1"/>
    <cellStyle name="Accent6 2" xfId="78" xr:uid="{00000000-0005-0000-0000-00004A000000}"/>
    <cellStyle name="annee semestre" xfId="79" xr:uid="{00000000-0005-0000-0000-00004B000000}"/>
    <cellStyle name="annee semestre 2" xfId="2232" xr:uid="{00000000-0005-0000-0000-00004C000000}"/>
    <cellStyle name="Avertissement" xfId="80" xr:uid="{00000000-0005-0000-0000-00004D000000}"/>
    <cellStyle name="AZ1" xfId="81" xr:uid="{00000000-0005-0000-0000-00004E000000}"/>
    <cellStyle name="bin" xfId="82" xr:uid="{00000000-0005-0000-0000-00004F000000}"/>
    <cellStyle name="bin 2" xfId="83" xr:uid="{00000000-0005-0000-0000-000050000000}"/>
    <cellStyle name="bin 3" xfId="84" xr:uid="{00000000-0005-0000-0000-000051000000}"/>
    <cellStyle name="bin 4" xfId="85" xr:uid="{00000000-0005-0000-0000-000052000000}"/>
    <cellStyle name="bin 5" xfId="86" xr:uid="{00000000-0005-0000-0000-000053000000}"/>
    <cellStyle name="bin 6" xfId="87" xr:uid="{00000000-0005-0000-0000-000054000000}"/>
    <cellStyle name="bin 7" xfId="88" xr:uid="{00000000-0005-0000-0000-000055000000}"/>
    <cellStyle name="bin 8" xfId="89" xr:uid="{00000000-0005-0000-0000-000056000000}"/>
    <cellStyle name="bin 9" xfId="90" xr:uid="{00000000-0005-0000-0000-000057000000}"/>
    <cellStyle name="blue" xfId="91" xr:uid="{00000000-0005-0000-0000-000058000000}"/>
    <cellStyle name="Ç¥ÁØ_ENRL2" xfId="92" xr:uid="{00000000-0005-0000-0000-000059000000}"/>
    <cellStyle name="caché" xfId="93" xr:uid="{00000000-0005-0000-0000-00005A000000}"/>
    <cellStyle name="Calcul" xfId="94" xr:uid="{00000000-0005-0000-0000-00005B000000}"/>
    <cellStyle name="Calcul 2" xfId="2233" xr:uid="{00000000-0005-0000-0000-00005C000000}"/>
    <cellStyle name="cell" xfId="95" xr:uid="{00000000-0005-0000-0000-00005D000000}"/>
    <cellStyle name="cell 10" xfId="2234" xr:uid="{00000000-0005-0000-0000-00005E000000}"/>
    <cellStyle name="cell 2" xfId="96" xr:uid="{00000000-0005-0000-0000-00005F000000}"/>
    <cellStyle name="cell 2 2" xfId="2235" xr:uid="{00000000-0005-0000-0000-000060000000}"/>
    <cellStyle name="cell 3" xfId="97" xr:uid="{00000000-0005-0000-0000-000061000000}"/>
    <cellStyle name="cell 3 2" xfId="2236" xr:uid="{00000000-0005-0000-0000-000062000000}"/>
    <cellStyle name="cell 4" xfId="98" xr:uid="{00000000-0005-0000-0000-000063000000}"/>
    <cellStyle name="cell 4 2" xfId="2237" xr:uid="{00000000-0005-0000-0000-000064000000}"/>
    <cellStyle name="cell 5" xfId="99" xr:uid="{00000000-0005-0000-0000-000065000000}"/>
    <cellStyle name="cell 5 2" xfId="2238" xr:uid="{00000000-0005-0000-0000-000066000000}"/>
    <cellStyle name="cell 6" xfId="100" xr:uid="{00000000-0005-0000-0000-000067000000}"/>
    <cellStyle name="cell 6 2" xfId="2239" xr:uid="{00000000-0005-0000-0000-000068000000}"/>
    <cellStyle name="cell 7" xfId="101" xr:uid="{00000000-0005-0000-0000-000069000000}"/>
    <cellStyle name="cell 7 2" xfId="2240" xr:uid="{00000000-0005-0000-0000-00006A000000}"/>
    <cellStyle name="cell 8" xfId="102" xr:uid="{00000000-0005-0000-0000-00006B000000}"/>
    <cellStyle name="cell 8 2" xfId="2241" xr:uid="{00000000-0005-0000-0000-00006C000000}"/>
    <cellStyle name="cell 9" xfId="103" xr:uid="{00000000-0005-0000-0000-00006D000000}"/>
    <cellStyle name="cell 9 2" xfId="2242" xr:uid="{00000000-0005-0000-0000-00006E000000}"/>
    <cellStyle name="Cellule liée" xfId="104" xr:uid="{00000000-0005-0000-0000-00006F000000}"/>
    <cellStyle name="Code additions" xfId="105" xr:uid="{00000000-0005-0000-0000-000070000000}"/>
    <cellStyle name="Code additions 2" xfId="2243" xr:uid="{00000000-0005-0000-0000-000071000000}"/>
    <cellStyle name="Col&amp;RowHeadings" xfId="106" xr:uid="{00000000-0005-0000-0000-000072000000}"/>
    <cellStyle name="ColCodes" xfId="107" xr:uid="{00000000-0005-0000-0000-000073000000}"/>
    <cellStyle name="ColTitles" xfId="108" xr:uid="{00000000-0005-0000-0000-000074000000}"/>
    <cellStyle name="ColTitles 10" xfId="109" xr:uid="{00000000-0005-0000-0000-000075000000}"/>
    <cellStyle name="ColTitles 11" xfId="110" xr:uid="{00000000-0005-0000-0000-000076000000}"/>
    <cellStyle name="ColTitles 12" xfId="111" xr:uid="{00000000-0005-0000-0000-000077000000}"/>
    <cellStyle name="ColTitles 13" xfId="112" xr:uid="{00000000-0005-0000-0000-000078000000}"/>
    <cellStyle name="ColTitles 14" xfId="113" xr:uid="{00000000-0005-0000-0000-000079000000}"/>
    <cellStyle name="ColTitles 15" xfId="114" xr:uid="{00000000-0005-0000-0000-00007A000000}"/>
    <cellStyle name="ColTitles 16" xfId="115" xr:uid="{00000000-0005-0000-0000-00007B000000}"/>
    <cellStyle name="ColTitles 2" xfId="116" xr:uid="{00000000-0005-0000-0000-00007C000000}"/>
    <cellStyle name="ColTitles 3" xfId="117" xr:uid="{00000000-0005-0000-0000-00007D000000}"/>
    <cellStyle name="ColTitles 4" xfId="118" xr:uid="{00000000-0005-0000-0000-00007E000000}"/>
    <cellStyle name="ColTitles 5" xfId="119" xr:uid="{00000000-0005-0000-0000-00007F000000}"/>
    <cellStyle name="ColTitles 6" xfId="120" xr:uid="{00000000-0005-0000-0000-000080000000}"/>
    <cellStyle name="ColTitles 7" xfId="121" xr:uid="{00000000-0005-0000-0000-000081000000}"/>
    <cellStyle name="ColTitles 8" xfId="122" xr:uid="{00000000-0005-0000-0000-000082000000}"/>
    <cellStyle name="ColTitles 9" xfId="123" xr:uid="{00000000-0005-0000-0000-000083000000}"/>
    <cellStyle name="column" xfId="124" xr:uid="{00000000-0005-0000-0000-000084000000}"/>
    <cellStyle name="Comma  [1]" xfId="125" xr:uid="{00000000-0005-0000-0000-000085000000}"/>
    <cellStyle name="Comma [0] 2" xfId="126" xr:uid="{00000000-0005-0000-0000-000086000000}"/>
    <cellStyle name="Comma [1]" xfId="127" xr:uid="{00000000-0005-0000-0000-000087000000}"/>
    <cellStyle name="Comma 10" xfId="128" xr:uid="{00000000-0005-0000-0000-000088000000}"/>
    <cellStyle name="Comma 10 2" xfId="129" xr:uid="{00000000-0005-0000-0000-000089000000}"/>
    <cellStyle name="Comma 10 2 2" xfId="130" xr:uid="{00000000-0005-0000-0000-00008A000000}"/>
    <cellStyle name="Comma 10 2 2 2" xfId="131" xr:uid="{00000000-0005-0000-0000-00008B000000}"/>
    <cellStyle name="Comma 10 2 2 2 2" xfId="132" xr:uid="{00000000-0005-0000-0000-00008C000000}"/>
    <cellStyle name="Comma 10 2 2 2 2 2" xfId="133" xr:uid="{00000000-0005-0000-0000-00008D000000}"/>
    <cellStyle name="Comma 10 2 2 2 3" xfId="134" xr:uid="{00000000-0005-0000-0000-00008E000000}"/>
    <cellStyle name="Comma 10 2 2 3" xfId="135" xr:uid="{00000000-0005-0000-0000-00008F000000}"/>
    <cellStyle name="Comma 10 2 2 3 2" xfId="136" xr:uid="{00000000-0005-0000-0000-000090000000}"/>
    <cellStyle name="Comma 10 2 2 4" xfId="137" xr:uid="{00000000-0005-0000-0000-000091000000}"/>
    <cellStyle name="Comma 10 2 3" xfId="138" xr:uid="{00000000-0005-0000-0000-000092000000}"/>
    <cellStyle name="Comma 10 2 3 2" xfId="139" xr:uid="{00000000-0005-0000-0000-000093000000}"/>
    <cellStyle name="Comma 10 2 3 2 2" xfId="140" xr:uid="{00000000-0005-0000-0000-000094000000}"/>
    <cellStyle name="Comma 10 2 3 2 2 2" xfId="141" xr:uid="{00000000-0005-0000-0000-000095000000}"/>
    <cellStyle name="Comma 10 2 3 2 3" xfId="142" xr:uid="{00000000-0005-0000-0000-000096000000}"/>
    <cellStyle name="Comma 10 2 3 3" xfId="143" xr:uid="{00000000-0005-0000-0000-000097000000}"/>
    <cellStyle name="Comma 10 2 3 3 2" xfId="144" xr:uid="{00000000-0005-0000-0000-000098000000}"/>
    <cellStyle name="Comma 10 2 3 4" xfId="145" xr:uid="{00000000-0005-0000-0000-000099000000}"/>
    <cellStyle name="Comma 10 3" xfId="146" xr:uid="{00000000-0005-0000-0000-00009A000000}"/>
    <cellStyle name="Comma 10 3 2" xfId="147" xr:uid="{00000000-0005-0000-0000-00009B000000}"/>
    <cellStyle name="Comma 10 3 2 2" xfId="148" xr:uid="{00000000-0005-0000-0000-00009C000000}"/>
    <cellStyle name="Comma 10 3 2 2 2" xfId="149" xr:uid="{00000000-0005-0000-0000-00009D000000}"/>
    <cellStyle name="Comma 10 3 2 3" xfId="150" xr:uid="{00000000-0005-0000-0000-00009E000000}"/>
    <cellStyle name="Comma 10 3 3" xfId="151" xr:uid="{00000000-0005-0000-0000-00009F000000}"/>
    <cellStyle name="Comma 10 3 3 2" xfId="152" xr:uid="{00000000-0005-0000-0000-0000A0000000}"/>
    <cellStyle name="Comma 10 3 4" xfId="153" xr:uid="{00000000-0005-0000-0000-0000A1000000}"/>
    <cellStyle name="Comma 10 4" xfId="154" xr:uid="{00000000-0005-0000-0000-0000A2000000}"/>
    <cellStyle name="Comma 10 4 2" xfId="155" xr:uid="{00000000-0005-0000-0000-0000A3000000}"/>
    <cellStyle name="Comma 10 4 2 2" xfId="156" xr:uid="{00000000-0005-0000-0000-0000A4000000}"/>
    <cellStyle name="Comma 10 4 2 2 2" xfId="157" xr:uid="{00000000-0005-0000-0000-0000A5000000}"/>
    <cellStyle name="Comma 10 4 2 3" xfId="158" xr:uid="{00000000-0005-0000-0000-0000A6000000}"/>
    <cellStyle name="Comma 10 4 3" xfId="159" xr:uid="{00000000-0005-0000-0000-0000A7000000}"/>
    <cellStyle name="Comma 10 4 3 2" xfId="160" xr:uid="{00000000-0005-0000-0000-0000A8000000}"/>
    <cellStyle name="Comma 10 4 4" xfId="161" xr:uid="{00000000-0005-0000-0000-0000A9000000}"/>
    <cellStyle name="Comma 10 5" xfId="162" xr:uid="{00000000-0005-0000-0000-0000AA000000}"/>
    <cellStyle name="Comma 10 5 2" xfId="163" xr:uid="{00000000-0005-0000-0000-0000AB000000}"/>
    <cellStyle name="Comma 10 5 2 2" xfId="164" xr:uid="{00000000-0005-0000-0000-0000AC000000}"/>
    <cellStyle name="Comma 10 5 3" xfId="165" xr:uid="{00000000-0005-0000-0000-0000AD000000}"/>
    <cellStyle name="Comma 10 6" xfId="166" xr:uid="{00000000-0005-0000-0000-0000AE000000}"/>
    <cellStyle name="Comma 10 6 2" xfId="167" xr:uid="{00000000-0005-0000-0000-0000AF000000}"/>
    <cellStyle name="Comma 10 7" xfId="168" xr:uid="{00000000-0005-0000-0000-0000B0000000}"/>
    <cellStyle name="Comma 11" xfId="169" xr:uid="{00000000-0005-0000-0000-0000B1000000}"/>
    <cellStyle name="Comma 11 2" xfId="170" xr:uid="{00000000-0005-0000-0000-0000B2000000}"/>
    <cellStyle name="Comma 11 2 2" xfId="171" xr:uid="{00000000-0005-0000-0000-0000B3000000}"/>
    <cellStyle name="Comma 11 2 2 2" xfId="172" xr:uid="{00000000-0005-0000-0000-0000B4000000}"/>
    <cellStyle name="Comma 11 2 2 2 2" xfId="173" xr:uid="{00000000-0005-0000-0000-0000B5000000}"/>
    <cellStyle name="Comma 11 2 2 2 2 2" xfId="174" xr:uid="{00000000-0005-0000-0000-0000B6000000}"/>
    <cellStyle name="Comma 11 2 2 2 3" xfId="175" xr:uid="{00000000-0005-0000-0000-0000B7000000}"/>
    <cellStyle name="Comma 11 2 2 3" xfId="176" xr:uid="{00000000-0005-0000-0000-0000B8000000}"/>
    <cellStyle name="Comma 11 2 2 3 2" xfId="177" xr:uid="{00000000-0005-0000-0000-0000B9000000}"/>
    <cellStyle name="Comma 11 2 2 4" xfId="178" xr:uid="{00000000-0005-0000-0000-0000BA000000}"/>
    <cellStyle name="Comma 11 2 3" xfId="179" xr:uid="{00000000-0005-0000-0000-0000BB000000}"/>
    <cellStyle name="Comma 11 2 3 2" xfId="180" xr:uid="{00000000-0005-0000-0000-0000BC000000}"/>
    <cellStyle name="Comma 11 2 3 2 2" xfId="181" xr:uid="{00000000-0005-0000-0000-0000BD000000}"/>
    <cellStyle name="Comma 11 2 3 2 2 2" xfId="182" xr:uid="{00000000-0005-0000-0000-0000BE000000}"/>
    <cellStyle name="Comma 11 2 3 2 3" xfId="183" xr:uid="{00000000-0005-0000-0000-0000BF000000}"/>
    <cellStyle name="Comma 11 2 3 3" xfId="184" xr:uid="{00000000-0005-0000-0000-0000C0000000}"/>
    <cellStyle name="Comma 11 2 3 3 2" xfId="185" xr:uid="{00000000-0005-0000-0000-0000C1000000}"/>
    <cellStyle name="Comma 11 2 3 4" xfId="186" xr:uid="{00000000-0005-0000-0000-0000C2000000}"/>
    <cellStyle name="Comma 11 2 4" xfId="187" xr:uid="{00000000-0005-0000-0000-0000C3000000}"/>
    <cellStyle name="Comma 11 2 4 2" xfId="188" xr:uid="{00000000-0005-0000-0000-0000C4000000}"/>
    <cellStyle name="Comma 11 2 4 2 2" xfId="189" xr:uid="{00000000-0005-0000-0000-0000C5000000}"/>
    <cellStyle name="Comma 11 2 4 3" xfId="190" xr:uid="{00000000-0005-0000-0000-0000C6000000}"/>
    <cellStyle name="Comma 11 2 5" xfId="191" xr:uid="{00000000-0005-0000-0000-0000C7000000}"/>
    <cellStyle name="Comma 11 2 5 2" xfId="192" xr:uid="{00000000-0005-0000-0000-0000C8000000}"/>
    <cellStyle name="Comma 11 2 6" xfId="193" xr:uid="{00000000-0005-0000-0000-0000C9000000}"/>
    <cellStyle name="Comma 11 3" xfId="194" xr:uid="{00000000-0005-0000-0000-0000CA000000}"/>
    <cellStyle name="Comma 11 3 2" xfId="195" xr:uid="{00000000-0005-0000-0000-0000CB000000}"/>
    <cellStyle name="Comma 11 3 2 2" xfId="196" xr:uid="{00000000-0005-0000-0000-0000CC000000}"/>
    <cellStyle name="Comma 11 3 2 2 2" xfId="197" xr:uid="{00000000-0005-0000-0000-0000CD000000}"/>
    <cellStyle name="Comma 11 3 2 3" xfId="198" xr:uid="{00000000-0005-0000-0000-0000CE000000}"/>
    <cellStyle name="Comma 11 3 3" xfId="199" xr:uid="{00000000-0005-0000-0000-0000CF000000}"/>
    <cellStyle name="Comma 11 3 3 2" xfId="200" xr:uid="{00000000-0005-0000-0000-0000D0000000}"/>
    <cellStyle name="Comma 11 3 4" xfId="201" xr:uid="{00000000-0005-0000-0000-0000D1000000}"/>
    <cellStyle name="Comma 11 4" xfId="202" xr:uid="{00000000-0005-0000-0000-0000D2000000}"/>
    <cellStyle name="Comma 11 4 2" xfId="203" xr:uid="{00000000-0005-0000-0000-0000D3000000}"/>
    <cellStyle name="Comma 11 4 2 2" xfId="204" xr:uid="{00000000-0005-0000-0000-0000D4000000}"/>
    <cellStyle name="Comma 11 4 2 2 2" xfId="205" xr:uid="{00000000-0005-0000-0000-0000D5000000}"/>
    <cellStyle name="Comma 11 4 2 3" xfId="206" xr:uid="{00000000-0005-0000-0000-0000D6000000}"/>
    <cellStyle name="Comma 11 4 3" xfId="207" xr:uid="{00000000-0005-0000-0000-0000D7000000}"/>
    <cellStyle name="Comma 11 4 3 2" xfId="208" xr:uid="{00000000-0005-0000-0000-0000D8000000}"/>
    <cellStyle name="Comma 11 4 4" xfId="209" xr:uid="{00000000-0005-0000-0000-0000D9000000}"/>
    <cellStyle name="Comma 11 5" xfId="210" xr:uid="{00000000-0005-0000-0000-0000DA000000}"/>
    <cellStyle name="Comma 11 5 2" xfId="211" xr:uid="{00000000-0005-0000-0000-0000DB000000}"/>
    <cellStyle name="Comma 11 5 2 2" xfId="212" xr:uid="{00000000-0005-0000-0000-0000DC000000}"/>
    <cellStyle name="Comma 11 5 3" xfId="213" xr:uid="{00000000-0005-0000-0000-0000DD000000}"/>
    <cellStyle name="Comma 11 6" xfId="214" xr:uid="{00000000-0005-0000-0000-0000DE000000}"/>
    <cellStyle name="Comma 11 6 2" xfId="215" xr:uid="{00000000-0005-0000-0000-0000DF000000}"/>
    <cellStyle name="Comma 11 7" xfId="216" xr:uid="{00000000-0005-0000-0000-0000E0000000}"/>
    <cellStyle name="Comma 12" xfId="217" xr:uid="{00000000-0005-0000-0000-0000E1000000}"/>
    <cellStyle name="Comma 12 2" xfId="218" xr:uid="{00000000-0005-0000-0000-0000E2000000}"/>
    <cellStyle name="Comma 12 2 2" xfId="219" xr:uid="{00000000-0005-0000-0000-0000E3000000}"/>
    <cellStyle name="Comma 12 2 2 2" xfId="220" xr:uid="{00000000-0005-0000-0000-0000E4000000}"/>
    <cellStyle name="Comma 12 2 2 2 2" xfId="221" xr:uid="{00000000-0005-0000-0000-0000E5000000}"/>
    <cellStyle name="Comma 12 2 2 2 2 2" xfId="222" xr:uid="{00000000-0005-0000-0000-0000E6000000}"/>
    <cellStyle name="Comma 12 2 2 2 3" xfId="223" xr:uid="{00000000-0005-0000-0000-0000E7000000}"/>
    <cellStyle name="Comma 12 2 2 3" xfId="224" xr:uid="{00000000-0005-0000-0000-0000E8000000}"/>
    <cellStyle name="Comma 12 2 2 3 2" xfId="225" xr:uid="{00000000-0005-0000-0000-0000E9000000}"/>
    <cellStyle name="Comma 12 2 2 4" xfId="226" xr:uid="{00000000-0005-0000-0000-0000EA000000}"/>
    <cellStyle name="Comma 12 2 3" xfId="227" xr:uid="{00000000-0005-0000-0000-0000EB000000}"/>
    <cellStyle name="Comma 12 2 3 2" xfId="228" xr:uid="{00000000-0005-0000-0000-0000EC000000}"/>
    <cellStyle name="Comma 12 2 3 2 2" xfId="229" xr:uid="{00000000-0005-0000-0000-0000ED000000}"/>
    <cellStyle name="Comma 12 2 3 2 2 2" xfId="230" xr:uid="{00000000-0005-0000-0000-0000EE000000}"/>
    <cellStyle name="Comma 12 2 3 2 3" xfId="231" xr:uid="{00000000-0005-0000-0000-0000EF000000}"/>
    <cellStyle name="Comma 12 2 3 3" xfId="232" xr:uid="{00000000-0005-0000-0000-0000F0000000}"/>
    <cellStyle name="Comma 12 2 3 3 2" xfId="233" xr:uid="{00000000-0005-0000-0000-0000F1000000}"/>
    <cellStyle name="Comma 12 2 3 4" xfId="234" xr:uid="{00000000-0005-0000-0000-0000F2000000}"/>
    <cellStyle name="Comma 12 2 4" xfId="235" xr:uid="{00000000-0005-0000-0000-0000F3000000}"/>
    <cellStyle name="Comma 12 2 4 2" xfId="236" xr:uid="{00000000-0005-0000-0000-0000F4000000}"/>
    <cellStyle name="Comma 12 2 4 2 2" xfId="237" xr:uid="{00000000-0005-0000-0000-0000F5000000}"/>
    <cellStyle name="Comma 12 2 4 3" xfId="238" xr:uid="{00000000-0005-0000-0000-0000F6000000}"/>
    <cellStyle name="Comma 12 2 5" xfId="239" xr:uid="{00000000-0005-0000-0000-0000F7000000}"/>
    <cellStyle name="Comma 12 2 5 2" xfId="240" xr:uid="{00000000-0005-0000-0000-0000F8000000}"/>
    <cellStyle name="Comma 12 2 6" xfId="241" xr:uid="{00000000-0005-0000-0000-0000F9000000}"/>
    <cellStyle name="Comma 12 3" xfId="242" xr:uid="{00000000-0005-0000-0000-0000FA000000}"/>
    <cellStyle name="Comma 12 3 2" xfId="243" xr:uid="{00000000-0005-0000-0000-0000FB000000}"/>
    <cellStyle name="Comma 12 3 2 2" xfId="244" xr:uid="{00000000-0005-0000-0000-0000FC000000}"/>
    <cellStyle name="Comma 12 3 2 2 2" xfId="245" xr:uid="{00000000-0005-0000-0000-0000FD000000}"/>
    <cellStyle name="Comma 12 3 2 3" xfId="246" xr:uid="{00000000-0005-0000-0000-0000FE000000}"/>
    <cellStyle name="Comma 12 3 3" xfId="247" xr:uid="{00000000-0005-0000-0000-0000FF000000}"/>
    <cellStyle name="Comma 12 3 3 2" xfId="248" xr:uid="{00000000-0005-0000-0000-000000010000}"/>
    <cellStyle name="Comma 12 3 4" xfId="249" xr:uid="{00000000-0005-0000-0000-000001010000}"/>
    <cellStyle name="Comma 12 4" xfId="250" xr:uid="{00000000-0005-0000-0000-000002010000}"/>
    <cellStyle name="Comma 12 4 2" xfId="251" xr:uid="{00000000-0005-0000-0000-000003010000}"/>
    <cellStyle name="Comma 12 4 2 2" xfId="252" xr:uid="{00000000-0005-0000-0000-000004010000}"/>
    <cellStyle name="Comma 12 4 2 2 2" xfId="253" xr:uid="{00000000-0005-0000-0000-000005010000}"/>
    <cellStyle name="Comma 12 4 2 3" xfId="254" xr:uid="{00000000-0005-0000-0000-000006010000}"/>
    <cellStyle name="Comma 12 4 3" xfId="255" xr:uid="{00000000-0005-0000-0000-000007010000}"/>
    <cellStyle name="Comma 12 4 3 2" xfId="256" xr:uid="{00000000-0005-0000-0000-000008010000}"/>
    <cellStyle name="Comma 12 4 4" xfId="257" xr:uid="{00000000-0005-0000-0000-000009010000}"/>
    <cellStyle name="Comma 12 5" xfId="258" xr:uid="{00000000-0005-0000-0000-00000A010000}"/>
    <cellStyle name="Comma 12 5 2" xfId="259" xr:uid="{00000000-0005-0000-0000-00000B010000}"/>
    <cellStyle name="Comma 12 5 2 2" xfId="260" xr:uid="{00000000-0005-0000-0000-00000C010000}"/>
    <cellStyle name="Comma 12 5 3" xfId="261" xr:uid="{00000000-0005-0000-0000-00000D010000}"/>
    <cellStyle name="Comma 12 6" xfId="262" xr:uid="{00000000-0005-0000-0000-00000E010000}"/>
    <cellStyle name="Comma 12 6 2" xfId="263" xr:uid="{00000000-0005-0000-0000-00000F010000}"/>
    <cellStyle name="Comma 12 7" xfId="264" xr:uid="{00000000-0005-0000-0000-000010010000}"/>
    <cellStyle name="Comma 13" xfId="265" xr:uid="{00000000-0005-0000-0000-000011010000}"/>
    <cellStyle name="Comma 13 2" xfId="266" xr:uid="{00000000-0005-0000-0000-000012010000}"/>
    <cellStyle name="Comma 13 2 2" xfId="267" xr:uid="{00000000-0005-0000-0000-000013010000}"/>
    <cellStyle name="Comma 13 2 2 2" xfId="268" xr:uid="{00000000-0005-0000-0000-000014010000}"/>
    <cellStyle name="Comma 13 2 3" xfId="269" xr:uid="{00000000-0005-0000-0000-000015010000}"/>
    <cellStyle name="Comma 13 3" xfId="270" xr:uid="{00000000-0005-0000-0000-000016010000}"/>
    <cellStyle name="Comma 13 3 2" xfId="271" xr:uid="{00000000-0005-0000-0000-000017010000}"/>
    <cellStyle name="Comma 13 4" xfId="272" xr:uid="{00000000-0005-0000-0000-000018010000}"/>
    <cellStyle name="Comma 14" xfId="273" xr:uid="{00000000-0005-0000-0000-000019010000}"/>
    <cellStyle name="Comma 14 2" xfId="274" xr:uid="{00000000-0005-0000-0000-00001A010000}"/>
    <cellStyle name="Comma 14 2 2" xfId="275" xr:uid="{00000000-0005-0000-0000-00001B010000}"/>
    <cellStyle name="Comma 14 2 2 2" xfId="276" xr:uid="{00000000-0005-0000-0000-00001C010000}"/>
    <cellStyle name="Comma 14 2 2 2 2" xfId="277" xr:uid="{00000000-0005-0000-0000-00001D010000}"/>
    <cellStyle name="Comma 14 2 2 2 2 2" xfId="278" xr:uid="{00000000-0005-0000-0000-00001E010000}"/>
    <cellStyle name="Comma 14 2 2 2 3" xfId="279" xr:uid="{00000000-0005-0000-0000-00001F010000}"/>
    <cellStyle name="Comma 14 2 2 3" xfId="280" xr:uid="{00000000-0005-0000-0000-000020010000}"/>
    <cellStyle name="Comma 14 2 2 3 2" xfId="281" xr:uid="{00000000-0005-0000-0000-000021010000}"/>
    <cellStyle name="Comma 14 2 2 4" xfId="282" xr:uid="{00000000-0005-0000-0000-000022010000}"/>
    <cellStyle name="Comma 14 2 3" xfId="283" xr:uid="{00000000-0005-0000-0000-000023010000}"/>
    <cellStyle name="Comma 14 2 3 2" xfId="284" xr:uid="{00000000-0005-0000-0000-000024010000}"/>
    <cellStyle name="Comma 14 2 3 2 2" xfId="285" xr:uid="{00000000-0005-0000-0000-000025010000}"/>
    <cellStyle name="Comma 14 2 3 2 2 2" xfId="286" xr:uid="{00000000-0005-0000-0000-000026010000}"/>
    <cellStyle name="Comma 14 2 3 2 3" xfId="287" xr:uid="{00000000-0005-0000-0000-000027010000}"/>
    <cellStyle name="Comma 14 2 3 3" xfId="288" xr:uid="{00000000-0005-0000-0000-000028010000}"/>
    <cellStyle name="Comma 14 2 3 3 2" xfId="289" xr:uid="{00000000-0005-0000-0000-000029010000}"/>
    <cellStyle name="Comma 14 2 3 4" xfId="290" xr:uid="{00000000-0005-0000-0000-00002A010000}"/>
    <cellStyle name="Comma 14 2 4" xfId="291" xr:uid="{00000000-0005-0000-0000-00002B010000}"/>
    <cellStyle name="Comma 14 2 4 2" xfId="292" xr:uid="{00000000-0005-0000-0000-00002C010000}"/>
    <cellStyle name="Comma 14 2 4 2 2" xfId="293" xr:uid="{00000000-0005-0000-0000-00002D010000}"/>
    <cellStyle name="Comma 14 2 4 3" xfId="294" xr:uid="{00000000-0005-0000-0000-00002E010000}"/>
    <cellStyle name="Comma 14 2 5" xfId="295" xr:uid="{00000000-0005-0000-0000-00002F010000}"/>
    <cellStyle name="Comma 14 2 5 2" xfId="296" xr:uid="{00000000-0005-0000-0000-000030010000}"/>
    <cellStyle name="Comma 14 2 6" xfId="297" xr:uid="{00000000-0005-0000-0000-000031010000}"/>
    <cellStyle name="Comma 14 3" xfId="298" xr:uid="{00000000-0005-0000-0000-000032010000}"/>
    <cellStyle name="Comma 14 3 2" xfId="299" xr:uid="{00000000-0005-0000-0000-000033010000}"/>
    <cellStyle name="Comma 14 3 2 2" xfId="300" xr:uid="{00000000-0005-0000-0000-000034010000}"/>
    <cellStyle name="Comma 14 3 2 2 2" xfId="301" xr:uid="{00000000-0005-0000-0000-000035010000}"/>
    <cellStyle name="Comma 14 3 2 3" xfId="302" xr:uid="{00000000-0005-0000-0000-000036010000}"/>
    <cellStyle name="Comma 14 3 3" xfId="303" xr:uid="{00000000-0005-0000-0000-000037010000}"/>
    <cellStyle name="Comma 14 3 3 2" xfId="304" xr:uid="{00000000-0005-0000-0000-000038010000}"/>
    <cellStyle name="Comma 14 3 4" xfId="305" xr:uid="{00000000-0005-0000-0000-000039010000}"/>
    <cellStyle name="Comma 14 4" xfId="306" xr:uid="{00000000-0005-0000-0000-00003A010000}"/>
    <cellStyle name="Comma 14 4 2" xfId="307" xr:uid="{00000000-0005-0000-0000-00003B010000}"/>
    <cellStyle name="Comma 14 4 2 2" xfId="308" xr:uid="{00000000-0005-0000-0000-00003C010000}"/>
    <cellStyle name="Comma 14 4 2 2 2" xfId="309" xr:uid="{00000000-0005-0000-0000-00003D010000}"/>
    <cellStyle name="Comma 14 4 2 3" xfId="310" xr:uid="{00000000-0005-0000-0000-00003E010000}"/>
    <cellStyle name="Comma 14 4 3" xfId="311" xr:uid="{00000000-0005-0000-0000-00003F010000}"/>
    <cellStyle name="Comma 14 4 3 2" xfId="312" xr:uid="{00000000-0005-0000-0000-000040010000}"/>
    <cellStyle name="Comma 14 4 4" xfId="313" xr:uid="{00000000-0005-0000-0000-000041010000}"/>
    <cellStyle name="Comma 14 5" xfId="314" xr:uid="{00000000-0005-0000-0000-000042010000}"/>
    <cellStyle name="Comma 14 5 2" xfId="315" xr:uid="{00000000-0005-0000-0000-000043010000}"/>
    <cellStyle name="Comma 14 5 2 2" xfId="316" xr:uid="{00000000-0005-0000-0000-000044010000}"/>
    <cellStyle name="Comma 14 5 3" xfId="317" xr:uid="{00000000-0005-0000-0000-000045010000}"/>
    <cellStyle name="Comma 14 6" xfId="318" xr:uid="{00000000-0005-0000-0000-000046010000}"/>
    <cellStyle name="Comma 14 6 2" xfId="319" xr:uid="{00000000-0005-0000-0000-000047010000}"/>
    <cellStyle name="Comma 14 7" xfId="320" xr:uid="{00000000-0005-0000-0000-000048010000}"/>
    <cellStyle name="Comma 15" xfId="321" xr:uid="{00000000-0005-0000-0000-000049010000}"/>
    <cellStyle name="Comma 15 2" xfId="322" xr:uid="{00000000-0005-0000-0000-00004A010000}"/>
    <cellStyle name="Comma 15 2 2" xfId="323" xr:uid="{00000000-0005-0000-0000-00004B010000}"/>
    <cellStyle name="Comma 15 2 2 2" xfId="324" xr:uid="{00000000-0005-0000-0000-00004C010000}"/>
    <cellStyle name="Comma 15 2 3" xfId="325" xr:uid="{00000000-0005-0000-0000-00004D010000}"/>
    <cellStyle name="Comma 15 3" xfId="326" xr:uid="{00000000-0005-0000-0000-00004E010000}"/>
    <cellStyle name="Comma 15 3 2" xfId="327" xr:uid="{00000000-0005-0000-0000-00004F010000}"/>
    <cellStyle name="Comma 15 4" xfId="328" xr:uid="{00000000-0005-0000-0000-000050010000}"/>
    <cellStyle name="Comma 16" xfId="329" xr:uid="{00000000-0005-0000-0000-000051010000}"/>
    <cellStyle name="Comma 16 2" xfId="330" xr:uid="{00000000-0005-0000-0000-000052010000}"/>
    <cellStyle name="Comma 16 2 2" xfId="331" xr:uid="{00000000-0005-0000-0000-000053010000}"/>
    <cellStyle name="Comma 16 2 2 2" xfId="332" xr:uid="{00000000-0005-0000-0000-000054010000}"/>
    <cellStyle name="Comma 16 2 2 2 2" xfId="333" xr:uid="{00000000-0005-0000-0000-000055010000}"/>
    <cellStyle name="Comma 16 2 2 3" xfId="334" xr:uid="{00000000-0005-0000-0000-000056010000}"/>
    <cellStyle name="Comma 16 2 3" xfId="335" xr:uid="{00000000-0005-0000-0000-000057010000}"/>
    <cellStyle name="Comma 16 2 3 2" xfId="336" xr:uid="{00000000-0005-0000-0000-000058010000}"/>
    <cellStyle name="Comma 16 2 4" xfId="337" xr:uid="{00000000-0005-0000-0000-000059010000}"/>
    <cellStyle name="Comma 16 3" xfId="338" xr:uid="{00000000-0005-0000-0000-00005A010000}"/>
    <cellStyle name="Comma 16 3 2" xfId="339" xr:uid="{00000000-0005-0000-0000-00005B010000}"/>
    <cellStyle name="Comma 16 3 2 2" xfId="340" xr:uid="{00000000-0005-0000-0000-00005C010000}"/>
    <cellStyle name="Comma 16 3 2 2 2" xfId="341" xr:uid="{00000000-0005-0000-0000-00005D010000}"/>
    <cellStyle name="Comma 16 3 2 3" xfId="342" xr:uid="{00000000-0005-0000-0000-00005E010000}"/>
    <cellStyle name="Comma 16 3 3" xfId="343" xr:uid="{00000000-0005-0000-0000-00005F010000}"/>
    <cellStyle name="Comma 16 3 3 2" xfId="344" xr:uid="{00000000-0005-0000-0000-000060010000}"/>
    <cellStyle name="Comma 16 3 4" xfId="345" xr:uid="{00000000-0005-0000-0000-000061010000}"/>
    <cellStyle name="Comma 16 4" xfId="346" xr:uid="{00000000-0005-0000-0000-000062010000}"/>
    <cellStyle name="Comma 16 4 2" xfId="347" xr:uid="{00000000-0005-0000-0000-000063010000}"/>
    <cellStyle name="Comma 16 4 2 2" xfId="348" xr:uid="{00000000-0005-0000-0000-000064010000}"/>
    <cellStyle name="Comma 16 4 3" xfId="349" xr:uid="{00000000-0005-0000-0000-000065010000}"/>
    <cellStyle name="Comma 16 5" xfId="350" xr:uid="{00000000-0005-0000-0000-000066010000}"/>
    <cellStyle name="Comma 16 5 2" xfId="351" xr:uid="{00000000-0005-0000-0000-000067010000}"/>
    <cellStyle name="Comma 16 6" xfId="352" xr:uid="{00000000-0005-0000-0000-000068010000}"/>
    <cellStyle name="Comma 17" xfId="353" xr:uid="{00000000-0005-0000-0000-000069010000}"/>
    <cellStyle name="Comma 17 2" xfId="354" xr:uid="{00000000-0005-0000-0000-00006A010000}"/>
    <cellStyle name="Comma 17 2 2" xfId="355" xr:uid="{00000000-0005-0000-0000-00006B010000}"/>
    <cellStyle name="Comma 17 2 2 2" xfId="356" xr:uid="{00000000-0005-0000-0000-00006C010000}"/>
    <cellStyle name="Comma 17 2 2 2 2" xfId="357" xr:uid="{00000000-0005-0000-0000-00006D010000}"/>
    <cellStyle name="Comma 17 2 2 3" xfId="358" xr:uid="{00000000-0005-0000-0000-00006E010000}"/>
    <cellStyle name="Comma 17 2 3" xfId="359" xr:uid="{00000000-0005-0000-0000-00006F010000}"/>
    <cellStyle name="Comma 17 2 3 2" xfId="360" xr:uid="{00000000-0005-0000-0000-000070010000}"/>
    <cellStyle name="Comma 17 2 4" xfId="361" xr:uid="{00000000-0005-0000-0000-000071010000}"/>
    <cellStyle name="Comma 17 3" xfId="362" xr:uid="{00000000-0005-0000-0000-000072010000}"/>
    <cellStyle name="Comma 17 3 2" xfId="363" xr:uid="{00000000-0005-0000-0000-000073010000}"/>
    <cellStyle name="Comma 17 3 2 2" xfId="364" xr:uid="{00000000-0005-0000-0000-000074010000}"/>
    <cellStyle name="Comma 17 3 2 2 2" xfId="365" xr:uid="{00000000-0005-0000-0000-000075010000}"/>
    <cellStyle name="Comma 17 3 2 3" xfId="366" xr:uid="{00000000-0005-0000-0000-000076010000}"/>
    <cellStyle name="Comma 17 3 3" xfId="367" xr:uid="{00000000-0005-0000-0000-000077010000}"/>
    <cellStyle name="Comma 17 3 3 2" xfId="368" xr:uid="{00000000-0005-0000-0000-000078010000}"/>
    <cellStyle name="Comma 17 3 4" xfId="369" xr:uid="{00000000-0005-0000-0000-000079010000}"/>
    <cellStyle name="Comma 18" xfId="370" xr:uid="{00000000-0005-0000-0000-00007A010000}"/>
    <cellStyle name="Comma 18 2" xfId="371" xr:uid="{00000000-0005-0000-0000-00007B010000}"/>
    <cellStyle name="Comma 18 2 2" xfId="372" xr:uid="{00000000-0005-0000-0000-00007C010000}"/>
    <cellStyle name="Comma 18 2 2 2" xfId="373" xr:uid="{00000000-0005-0000-0000-00007D010000}"/>
    <cellStyle name="Comma 18 2 2 2 2" xfId="374" xr:uid="{00000000-0005-0000-0000-00007E010000}"/>
    <cellStyle name="Comma 18 2 2 3" xfId="375" xr:uid="{00000000-0005-0000-0000-00007F010000}"/>
    <cellStyle name="Comma 18 2 3" xfId="376" xr:uid="{00000000-0005-0000-0000-000080010000}"/>
    <cellStyle name="Comma 18 2 3 2" xfId="377" xr:uid="{00000000-0005-0000-0000-000081010000}"/>
    <cellStyle name="Comma 18 2 4" xfId="378" xr:uid="{00000000-0005-0000-0000-000082010000}"/>
    <cellStyle name="Comma 18 3" xfId="379" xr:uid="{00000000-0005-0000-0000-000083010000}"/>
    <cellStyle name="Comma 18 3 2" xfId="380" xr:uid="{00000000-0005-0000-0000-000084010000}"/>
    <cellStyle name="Comma 18 3 2 2" xfId="381" xr:uid="{00000000-0005-0000-0000-000085010000}"/>
    <cellStyle name="Comma 18 3 2 2 2" xfId="382" xr:uid="{00000000-0005-0000-0000-000086010000}"/>
    <cellStyle name="Comma 18 3 2 3" xfId="383" xr:uid="{00000000-0005-0000-0000-000087010000}"/>
    <cellStyle name="Comma 18 3 3" xfId="384" xr:uid="{00000000-0005-0000-0000-000088010000}"/>
    <cellStyle name="Comma 18 3 3 2" xfId="385" xr:uid="{00000000-0005-0000-0000-000089010000}"/>
    <cellStyle name="Comma 18 3 4" xfId="386" xr:uid="{00000000-0005-0000-0000-00008A010000}"/>
    <cellStyle name="Comma 18 4" xfId="387" xr:uid="{00000000-0005-0000-0000-00008B010000}"/>
    <cellStyle name="Comma 18 4 2" xfId="388" xr:uid="{00000000-0005-0000-0000-00008C010000}"/>
    <cellStyle name="Comma 18 4 2 2" xfId="389" xr:uid="{00000000-0005-0000-0000-00008D010000}"/>
    <cellStyle name="Comma 18 4 3" xfId="390" xr:uid="{00000000-0005-0000-0000-00008E010000}"/>
    <cellStyle name="Comma 18 5" xfId="391" xr:uid="{00000000-0005-0000-0000-00008F010000}"/>
    <cellStyle name="Comma 18 5 2" xfId="392" xr:uid="{00000000-0005-0000-0000-000090010000}"/>
    <cellStyle name="Comma 18 6" xfId="393" xr:uid="{00000000-0005-0000-0000-000091010000}"/>
    <cellStyle name="Comma 19" xfId="394" xr:uid="{00000000-0005-0000-0000-000092010000}"/>
    <cellStyle name="Comma 19 2" xfId="395" xr:uid="{00000000-0005-0000-0000-000093010000}"/>
    <cellStyle name="Comma 19 2 2" xfId="396" xr:uid="{00000000-0005-0000-0000-000094010000}"/>
    <cellStyle name="Comma 19 2 2 2" xfId="397" xr:uid="{00000000-0005-0000-0000-000095010000}"/>
    <cellStyle name="Comma 19 2 2 2 2" xfId="398" xr:uid="{00000000-0005-0000-0000-000096010000}"/>
    <cellStyle name="Comma 19 2 2 3" xfId="399" xr:uid="{00000000-0005-0000-0000-000097010000}"/>
    <cellStyle name="Comma 19 2 3" xfId="400" xr:uid="{00000000-0005-0000-0000-000098010000}"/>
    <cellStyle name="Comma 19 2 3 2" xfId="401" xr:uid="{00000000-0005-0000-0000-000099010000}"/>
    <cellStyle name="Comma 19 2 4" xfId="402" xr:uid="{00000000-0005-0000-0000-00009A010000}"/>
    <cellStyle name="Comma 19 3" xfId="403" xr:uid="{00000000-0005-0000-0000-00009B010000}"/>
    <cellStyle name="Comma 19 3 2" xfId="404" xr:uid="{00000000-0005-0000-0000-00009C010000}"/>
    <cellStyle name="Comma 19 3 2 2" xfId="405" xr:uid="{00000000-0005-0000-0000-00009D010000}"/>
    <cellStyle name="Comma 19 3 2 2 2" xfId="406" xr:uid="{00000000-0005-0000-0000-00009E010000}"/>
    <cellStyle name="Comma 19 3 2 3" xfId="407" xr:uid="{00000000-0005-0000-0000-00009F010000}"/>
    <cellStyle name="Comma 19 3 3" xfId="408" xr:uid="{00000000-0005-0000-0000-0000A0010000}"/>
    <cellStyle name="Comma 19 3 3 2" xfId="409" xr:uid="{00000000-0005-0000-0000-0000A1010000}"/>
    <cellStyle name="Comma 19 3 4" xfId="410" xr:uid="{00000000-0005-0000-0000-0000A2010000}"/>
    <cellStyle name="Comma 19 4" xfId="411" xr:uid="{00000000-0005-0000-0000-0000A3010000}"/>
    <cellStyle name="Comma 19 4 2" xfId="412" xr:uid="{00000000-0005-0000-0000-0000A4010000}"/>
    <cellStyle name="Comma 19 4 2 2" xfId="413" xr:uid="{00000000-0005-0000-0000-0000A5010000}"/>
    <cellStyle name="Comma 19 4 3" xfId="414" xr:uid="{00000000-0005-0000-0000-0000A6010000}"/>
    <cellStyle name="Comma 19 5" xfId="415" xr:uid="{00000000-0005-0000-0000-0000A7010000}"/>
    <cellStyle name="Comma 19 5 2" xfId="416" xr:uid="{00000000-0005-0000-0000-0000A8010000}"/>
    <cellStyle name="Comma 19 6" xfId="417" xr:uid="{00000000-0005-0000-0000-0000A9010000}"/>
    <cellStyle name="Comma 2" xfId="418" xr:uid="{00000000-0005-0000-0000-0000AA010000}"/>
    <cellStyle name="Comma 2 2" xfId="419" xr:uid="{00000000-0005-0000-0000-0000AB010000}"/>
    <cellStyle name="Comma 2 2 2" xfId="420" xr:uid="{00000000-0005-0000-0000-0000AC010000}"/>
    <cellStyle name="Comma 2 2 2 2" xfId="421" xr:uid="{00000000-0005-0000-0000-0000AD010000}"/>
    <cellStyle name="Comma 2 2 2 2 2" xfId="422" xr:uid="{00000000-0005-0000-0000-0000AE010000}"/>
    <cellStyle name="Comma 2 2 2 2 2 2" xfId="423" xr:uid="{00000000-0005-0000-0000-0000AF010000}"/>
    <cellStyle name="Comma 2 2 2 2 3" xfId="424" xr:uid="{00000000-0005-0000-0000-0000B0010000}"/>
    <cellStyle name="Comma 2 2 2 3" xfId="425" xr:uid="{00000000-0005-0000-0000-0000B1010000}"/>
    <cellStyle name="Comma 2 2 2 3 2" xfId="426" xr:uid="{00000000-0005-0000-0000-0000B2010000}"/>
    <cellStyle name="Comma 2 2 2 4" xfId="427" xr:uid="{00000000-0005-0000-0000-0000B3010000}"/>
    <cellStyle name="Comma 2 2 3" xfId="428" xr:uid="{00000000-0005-0000-0000-0000B4010000}"/>
    <cellStyle name="Comma 2 2 3 2" xfId="429" xr:uid="{00000000-0005-0000-0000-0000B5010000}"/>
    <cellStyle name="Comma 2 2 3 2 2" xfId="430" xr:uid="{00000000-0005-0000-0000-0000B6010000}"/>
    <cellStyle name="Comma 2 2 3 2 2 2" xfId="431" xr:uid="{00000000-0005-0000-0000-0000B7010000}"/>
    <cellStyle name="Comma 2 2 3 2 3" xfId="432" xr:uid="{00000000-0005-0000-0000-0000B8010000}"/>
    <cellStyle name="Comma 2 2 3 3" xfId="433" xr:uid="{00000000-0005-0000-0000-0000B9010000}"/>
    <cellStyle name="Comma 2 2 3 3 2" xfId="434" xr:uid="{00000000-0005-0000-0000-0000BA010000}"/>
    <cellStyle name="Comma 2 2 3 4" xfId="435" xr:uid="{00000000-0005-0000-0000-0000BB010000}"/>
    <cellStyle name="Comma 2 3" xfId="436" xr:uid="{00000000-0005-0000-0000-0000BC010000}"/>
    <cellStyle name="Comma 2 3 2" xfId="437" xr:uid="{00000000-0005-0000-0000-0000BD010000}"/>
    <cellStyle name="Comma 2 4" xfId="438" xr:uid="{00000000-0005-0000-0000-0000BE010000}"/>
    <cellStyle name="Comma 2 4 2" xfId="439" xr:uid="{00000000-0005-0000-0000-0000BF010000}"/>
    <cellStyle name="Comma 2 4 3" xfId="440" xr:uid="{00000000-0005-0000-0000-0000C0010000}"/>
    <cellStyle name="Comma 2 5" xfId="441" xr:uid="{00000000-0005-0000-0000-0000C1010000}"/>
    <cellStyle name="Comma 2 5 2" xfId="442" xr:uid="{00000000-0005-0000-0000-0000C2010000}"/>
    <cellStyle name="Comma 2 5 3" xfId="443" xr:uid="{00000000-0005-0000-0000-0000C3010000}"/>
    <cellStyle name="Comma 2 6" xfId="444" xr:uid="{00000000-0005-0000-0000-0000C4010000}"/>
    <cellStyle name="Comma 2 6 2" xfId="445" xr:uid="{00000000-0005-0000-0000-0000C5010000}"/>
    <cellStyle name="Comma 2 6 3" xfId="446" xr:uid="{00000000-0005-0000-0000-0000C6010000}"/>
    <cellStyle name="Comma 2 7" xfId="447" xr:uid="{00000000-0005-0000-0000-0000C7010000}"/>
    <cellStyle name="Comma 2 7 2" xfId="448" xr:uid="{00000000-0005-0000-0000-0000C8010000}"/>
    <cellStyle name="Comma 2 7 3" xfId="449" xr:uid="{00000000-0005-0000-0000-0000C9010000}"/>
    <cellStyle name="Comma 2 8" xfId="450" xr:uid="{00000000-0005-0000-0000-0000CA010000}"/>
    <cellStyle name="Comma 20" xfId="451" xr:uid="{00000000-0005-0000-0000-0000CB010000}"/>
    <cellStyle name="Comma 20 2" xfId="452" xr:uid="{00000000-0005-0000-0000-0000CC010000}"/>
    <cellStyle name="Comma 20 2 2" xfId="453" xr:uid="{00000000-0005-0000-0000-0000CD010000}"/>
    <cellStyle name="Comma 20 2 2 2" xfId="454" xr:uid="{00000000-0005-0000-0000-0000CE010000}"/>
    <cellStyle name="Comma 20 2 3" xfId="455" xr:uid="{00000000-0005-0000-0000-0000CF010000}"/>
    <cellStyle name="Comma 20 3" xfId="456" xr:uid="{00000000-0005-0000-0000-0000D0010000}"/>
    <cellStyle name="Comma 20 3 2" xfId="457" xr:uid="{00000000-0005-0000-0000-0000D1010000}"/>
    <cellStyle name="Comma 20 4" xfId="458" xr:uid="{00000000-0005-0000-0000-0000D2010000}"/>
    <cellStyle name="Comma 21" xfId="459" xr:uid="{00000000-0005-0000-0000-0000D3010000}"/>
    <cellStyle name="Comma 21 2" xfId="460" xr:uid="{00000000-0005-0000-0000-0000D4010000}"/>
    <cellStyle name="Comma 21 2 2" xfId="461" xr:uid="{00000000-0005-0000-0000-0000D5010000}"/>
    <cellStyle name="Comma 21 2 2 2" xfId="462" xr:uid="{00000000-0005-0000-0000-0000D6010000}"/>
    <cellStyle name="Comma 21 2 3" xfId="463" xr:uid="{00000000-0005-0000-0000-0000D7010000}"/>
    <cellStyle name="Comma 21 3" xfId="464" xr:uid="{00000000-0005-0000-0000-0000D8010000}"/>
    <cellStyle name="Comma 21 3 2" xfId="465" xr:uid="{00000000-0005-0000-0000-0000D9010000}"/>
    <cellStyle name="Comma 21 4" xfId="466" xr:uid="{00000000-0005-0000-0000-0000DA010000}"/>
    <cellStyle name="Comma 22" xfId="467" xr:uid="{00000000-0005-0000-0000-0000DB010000}"/>
    <cellStyle name="Comma 22 2" xfId="468" xr:uid="{00000000-0005-0000-0000-0000DC010000}"/>
    <cellStyle name="Comma 22 2 2" xfId="469" xr:uid="{00000000-0005-0000-0000-0000DD010000}"/>
    <cellStyle name="Comma 22 2 2 2" xfId="470" xr:uid="{00000000-0005-0000-0000-0000DE010000}"/>
    <cellStyle name="Comma 22 2 2 2 2" xfId="471" xr:uid="{00000000-0005-0000-0000-0000DF010000}"/>
    <cellStyle name="Comma 22 2 2 3" xfId="472" xr:uid="{00000000-0005-0000-0000-0000E0010000}"/>
    <cellStyle name="Comma 22 2 3" xfId="473" xr:uid="{00000000-0005-0000-0000-0000E1010000}"/>
    <cellStyle name="Comma 22 2 3 2" xfId="474" xr:uid="{00000000-0005-0000-0000-0000E2010000}"/>
    <cellStyle name="Comma 22 2 4" xfId="475" xr:uid="{00000000-0005-0000-0000-0000E3010000}"/>
    <cellStyle name="Comma 22 3" xfId="476" xr:uid="{00000000-0005-0000-0000-0000E4010000}"/>
    <cellStyle name="Comma 22 3 2" xfId="477" xr:uid="{00000000-0005-0000-0000-0000E5010000}"/>
    <cellStyle name="Comma 22 3 2 2" xfId="478" xr:uid="{00000000-0005-0000-0000-0000E6010000}"/>
    <cellStyle name="Comma 22 3 2 2 2" xfId="479" xr:uid="{00000000-0005-0000-0000-0000E7010000}"/>
    <cellStyle name="Comma 22 3 2 3" xfId="480" xr:uid="{00000000-0005-0000-0000-0000E8010000}"/>
    <cellStyle name="Comma 22 3 3" xfId="481" xr:uid="{00000000-0005-0000-0000-0000E9010000}"/>
    <cellStyle name="Comma 22 3 3 2" xfId="482" xr:uid="{00000000-0005-0000-0000-0000EA010000}"/>
    <cellStyle name="Comma 22 3 4" xfId="483" xr:uid="{00000000-0005-0000-0000-0000EB010000}"/>
    <cellStyle name="Comma 22 4" xfId="484" xr:uid="{00000000-0005-0000-0000-0000EC010000}"/>
    <cellStyle name="Comma 22 4 2" xfId="485" xr:uid="{00000000-0005-0000-0000-0000ED010000}"/>
    <cellStyle name="Comma 22 4 2 2" xfId="486" xr:uid="{00000000-0005-0000-0000-0000EE010000}"/>
    <cellStyle name="Comma 22 4 3" xfId="487" xr:uid="{00000000-0005-0000-0000-0000EF010000}"/>
    <cellStyle name="Comma 22 5" xfId="488" xr:uid="{00000000-0005-0000-0000-0000F0010000}"/>
    <cellStyle name="Comma 22 5 2" xfId="489" xr:uid="{00000000-0005-0000-0000-0000F1010000}"/>
    <cellStyle name="Comma 22 6" xfId="490" xr:uid="{00000000-0005-0000-0000-0000F2010000}"/>
    <cellStyle name="Comma 23" xfId="491" xr:uid="{00000000-0005-0000-0000-0000F3010000}"/>
    <cellStyle name="Comma 23 2" xfId="492" xr:uid="{00000000-0005-0000-0000-0000F4010000}"/>
    <cellStyle name="Comma 23 2 2" xfId="493" xr:uid="{00000000-0005-0000-0000-0000F5010000}"/>
    <cellStyle name="Comma 23 2 2 2" xfId="494" xr:uid="{00000000-0005-0000-0000-0000F6010000}"/>
    <cellStyle name="Comma 23 2 2 2 2" xfId="495" xr:uid="{00000000-0005-0000-0000-0000F7010000}"/>
    <cellStyle name="Comma 23 2 2 3" xfId="496" xr:uid="{00000000-0005-0000-0000-0000F8010000}"/>
    <cellStyle name="Comma 23 2 3" xfId="497" xr:uid="{00000000-0005-0000-0000-0000F9010000}"/>
    <cellStyle name="Comma 23 2 3 2" xfId="498" xr:uid="{00000000-0005-0000-0000-0000FA010000}"/>
    <cellStyle name="Comma 23 2 4" xfId="499" xr:uid="{00000000-0005-0000-0000-0000FB010000}"/>
    <cellStyle name="Comma 23 3" xfId="500" xr:uid="{00000000-0005-0000-0000-0000FC010000}"/>
    <cellStyle name="Comma 23 3 2" xfId="501" xr:uid="{00000000-0005-0000-0000-0000FD010000}"/>
    <cellStyle name="Comma 23 3 2 2" xfId="502" xr:uid="{00000000-0005-0000-0000-0000FE010000}"/>
    <cellStyle name="Comma 23 3 2 2 2" xfId="503" xr:uid="{00000000-0005-0000-0000-0000FF010000}"/>
    <cellStyle name="Comma 23 3 2 3" xfId="504" xr:uid="{00000000-0005-0000-0000-000000020000}"/>
    <cellStyle name="Comma 23 3 3" xfId="505" xr:uid="{00000000-0005-0000-0000-000001020000}"/>
    <cellStyle name="Comma 23 3 3 2" xfId="506" xr:uid="{00000000-0005-0000-0000-000002020000}"/>
    <cellStyle name="Comma 23 3 4" xfId="507" xr:uid="{00000000-0005-0000-0000-000003020000}"/>
    <cellStyle name="Comma 23 4" xfId="508" xr:uid="{00000000-0005-0000-0000-000004020000}"/>
    <cellStyle name="Comma 23 4 2" xfId="509" xr:uid="{00000000-0005-0000-0000-000005020000}"/>
    <cellStyle name="Comma 23 4 2 2" xfId="510" xr:uid="{00000000-0005-0000-0000-000006020000}"/>
    <cellStyle name="Comma 23 4 3" xfId="511" xr:uid="{00000000-0005-0000-0000-000007020000}"/>
    <cellStyle name="Comma 23 5" xfId="512" xr:uid="{00000000-0005-0000-0000-000008020000}"/>
    <cellStyle name="Comma 23 5 2" xfId="513" xr:uid="{00000000-0005-0000-0000-000009020000}"/>
    <cellStyle name="Comma 23 6" xfId="514" xr:uid="{00000000-0005-0000-0000-00000A020000}"/>
    <cellStyle name="Comma 24" xfId="515" xr:uid="{00000000-0005-0000-0000-00000B020000}"/>
    <cellStyle name="Comma 24 2" xfId="516" xr:uid="{00000000-0005-0000-0000-00000C020000}"/>
    <cellStyle name="Comma 24 2 2" xfId="517" xr:uid="{00000000-0005-0000-0000-00000D020000}"/>
    <cellStyle name="Comma 24 2 2 2" xfId="518" xr:uid="{00000000-0005-0000-0000-00000E020000}"/>
    <cellStyle name="Comma 24 2 2 2 2" xfId="519" xr:uid="{00000000-0005-0000-0000-00000F020000}"/>
    <cellStyle name="Comma 24 2 2 3" xfId="520" xr:uid="{00000000-0005-0000-0000-000010020000}"/>
    <cellStyle name="Comma 24 2 3" xfId="521" xr:uid="{00000000-0005-0000-0000-000011020000}"/>
    <cellStyle name="Comma 24 2 3 2" xfId="522" xr:uid="{00000000-0005-0000-0000-000012020000}"/>
    <cellStyle name="Comma 24 2 4" xfId="523" xr:uid="{00000000-0005-0000-0000-000013020000}"/>
    <cellStyle name="Comma 24 3" xfId="524" xr:uid="{00000000-0005-0000-0000-000014020000}"/>
    <cellStyle name="Comma 24 3 2" xfId="525" xr:uid="{00000000-0005-0000-0000-000015020000}"/>
    <cellStyle name="Comma 24 3 2 2" xfId="526" xr:uid="{00000000-0005-0000-0000-000016020000}"/>
    <cellStyle name="Comma 24 3 2 2 2" xfId="527" xr:uid="{00000000-0005-0000-0000-000017020000}"/>
    <cellStyle name="Comma 24 3 2 3" xfId="528" xr:uid="{00000000-0005-0000-0000-000018020000}"/>
    <cellStyle name="Comma 24 3 3" xfId="529" xr:uid="{00000000-0005-0000-0000-000019020000}"/>
    <cellStyle name="Comma 24 3 3 2" xfId="530" xr:uid="{00000000-0005-0000-0000-00001A020000}"/>
    <cellStyle name="Comma 24 3 4" xfId="531" xr:uid="{00000000-0005-0000-0000-00001B020000}"/>
    <cellStyle name="Comma 24 4" xfId="532" xr:uid="{00000000-0005-0000-0000-00001C020000}"/>
    <cellStyle name="Comma 24 4 2" xfId="533" xr:uid="{00000000-0005-0000-0000-00001D020000}"/>
    <cellStyle name="Comma 24 4 2 2" xfId="534" xr:uid="{00000000-0005-0000-0000-00001E020000}"/>
    <cellStyle name="Comma 24 4 3" xfId="535" xr:uid="{00000000-0005-0000-0000-00001F020000}"/>
    <cellStyle name="Comma 24 5" xfId="536" xr:uid="{00000000-0005-0000-0000-000020020000}"/>
    <cellStyle name="Comma 24 5 2" xfId="537" xr:uid="{00000000-0005-0000-0000-000021020000}"/>
    <cellStyle name="Comma 24 6" xfId="538" xr:uid="{00000000-0005-0000-0000-000022020000}"/>
    <cellStyle name="Comma 25" xfId="539" xr:uid="{00000000-0005-0000-0000-000023020000}"/>
    <cellStyle name="Comma 25 2" xfId="540" xr:uid="{00000000-0005-0000-0000-000024020000}"/>
    <cellStyle name="Comma 25 2 2" xfId="541" xr:uid="{00000000-0005-0000-0000-000025020000}"/>
    <cellStyle name="Comma 25 2 2 2" xfId="542" xr:uid="{00000000-0005-0000-0000-000026020000}"/>
    <cellStyle name="Comma 25 2 2 2 2" xfId="543" xr:uid="{00000000-0005-0000-0000-000027020000}"/>
    <cellStyle name="Comma 25 2 2 3" xfId="544" xr:uid="{00000000-0005-0000-0000-000028020000}"/>
    <cellStyle name="Comma 25 2 3" xfId="545" xr:uid="{00000000-0005-0000-0000-000029020000}"/>
    <cellStyle name="Comma 25 2 3 2" xfId="546" xr:uid="{00000000-0005-0000-0000-00002A020000}"/>
    <cellStyle name="Comma 25 2 4" xfId="547" xr:uid="{00000000-0005-0000-0000-00002B020000}"/>
    <cellStyle name="Comma 25 3" xfId="548" xr:uid="{00000000-0005-0000-0000-00002C020000}"/>
    <cellStyle name="Comma 25 3 2" xfId="549" xr:uid="{00000000-0005-0000-0000-00002D020000}"/>
    <cellStyle name="Comma 25 3 2 2" xfId="550" xr:uid="{00000000-0005-0000-0000-00002E020000}"/>
    <cellStyle name="Comma 25 3 2 2 2" xfId="551" xr:uid="{00000000-0005-0000-0000-00002F020000}"/>
    <cellStyle name="Comma 25 3 2 3" xfId="552" xr:uid="{00000000-0005-0000-0000-000030020000}"/>
    <cellStyle name="Comma 25 3 3" xfId="553" xr:uid="{00000000-0005-0000-0000-000031020000}"/>
    <cellStyle name="Comma 25 3 3 2" xfId="554" xr:uid="{00000000-0005-0000-0000-000032020000}"/>
    <cellStyle name="Comma 25 3 4" xfId="555" xr:uid="{00000000-0005-0000-0000-000033020000}"/>
    <cellStyle name="Comma 25 4" xfId="556" xr:uid="{00000000-0005-0000-0000-000034020000}"/>
    <cellStyle name="Comma 25 4 2" xfId="557" xr:uid="{00000000-0005-0000-0000-000035020000}"/>
    <cellStyle name="Comma 25 4 2 2" xfId="558" xr:uid="{00000000-0005-0000-0000-000036020000}"/>
    <cellStyle name="Comma 25 4 3" xfId="559" xr:uid="{00000000-0005-0000-0000-000037020000}"/>
    <cellStyle name="Comma 25 5" xfId="560" xr:uid="{00000000-0005-0000-0000-000038020000}"/>
    <cellStyle name="Comma 25 5 2" xfId="561" xr:uid="{00000000-0005-0000-0000-000039020000}"/>
    <cellStyle name="Comma 25 6" xfId="562" xr:uid="{00000000-0005-0000-0000-00003A020000}"/>
    <cellStyle name="Comma 26" xfId="563" xr:uid="{00000000-0005-0000-0000-00003B020000}"/>
    <cellStyle name="Comma 26 2" xfId="564" xr:uid="{00000000-0005-0000-0000-00003C020000}"/>
    <cellStyle name="Comma 26 2 2" xfId="565" xr:uid="{00000000-0005-0000-0000-00003D020000}"/>
    <cellStyle name="Comma 26 2 2 2" xfId="566" xr:uid="{00000000-0005-0000-0000-00003E020000}"/>
    <cellStyle name="Comma 26 2 2 2 2" xfId="567" xr:uid="{00000000-0005-0000-0000-00003F020000}"/>
    <cellStyle name="Comma 26 2 2 3" xfId="568" xr:uid="{00000000-0005-0000-0000-000040020000}"/>
    <cellStyle name="Comma 26 2 3" xfId="569" xr:uid="{00000000-0005-0000-0000-000041020000}"/>
    <cellStyle name="Comma 26 2 3 2" xfId="570" xr:uid="{00000000-0005-0000-0000-000042020000}"/>
    <cellStyle name="Comma 26 2 4" xfId="571" xr:uid="{00000000-0005-0000-0000-000043020000}"/>
    <cellStyle name="Comma 26 3" xfId="572" xr:uid="{00000000-0005-0000-0000-000044020000}"/>
    <cellStyle name="Comma 26 3 2" xfId="573" xr:uid="{00000000-0005-0000-0000-000045020000}"/>
    <cellStyle name="Comma 26 3 2 2" xfId="574" xr:uid="{00000000-0005-0000-0000-000046020000}"/>
    <cellStyle name="Comma 26 3 2 2 2" xfId="575" xr:uid="{00000000-0005-0000-0000-000047020000}"/>
    <cellStyle name="Comma 26 3 2 3" xfId="576" xr:uid="{00000000-0005-0000-0000-000048020000}"/>
    <cellStyle name="Comma 26 3 3" xfId="577" xr:uid="{00000000-0005-0000-0000-000049020000}"/>
    <cellStyle name="Comma 26 3 3 2" xfId="578" xr:uid="{00000000-0005-0000-0000-00004A020000}"/>
    <cellStyle name="Comma 26 3 4" xfId="579" xr:uid="{00000000-0005-0000-0000-00004B020000}"/>
    <cellStyle name="Comma 26 4" xfId="580" xr:uid="{00000000-0005-0000-0000-00004C020000}"/>
    <cellStyle name="Comma 26 4 2" xfId="581" xr:uid="{00000000-0005-0000-0000-00004D020000}"/>
    <cellStyle name="Comma 26 4 2 2" xfId="582" xr:uid="{00000000-0005-0000-0000-00004E020000}"/>
    <cellStyle name="Comma 26 4 3" xfId="583" xr:uid="{00000000-0005-0000-0000-00004F020000}"/>
    <cellStyle name="Comma 26 5" xfId="584" xr:uid="{00000000-0005-0000-0000-000050020000}"/>
    <cellStyle name="Comma 26 5 2" xfId="585" xr:uid="{00000000-0005-0000-0000-000051020000}"/>
    <cellStyle name="Comma 26 6" xfId="586" xr:uid="{00000000-0005-0000-0000-000052020000}"/>
    <cellStyle name="Comma 27" xfId="587" xr:uid="{00000000-0005-0000-0000-000053020000}"/>
    <cellStyle name="Comma 27 2" xfId="588" xr:uid="{00000000-0005-0000-0000-000054020000}"/>
    <cellStyle name="Comma 27 2 2" xfId="589" xr:uid="{00000000-0005-0000-0000-000055020000}"/>
    <cellStyle name="Comma 27 2 2 2" xfId="590" xr:uid="{00000000-0005-0000-0000-000056020000}"/>
    <cellStyle name="Comma 27 2 3" xfId="591" xr:uid="{00000000-0005-0000-0000-000057020000}"/>
    <cellStyle name="Comma 27 3" xfId="592" xr:uid="{00000000-0005-0000-0000-000058020000}"/>
    <cellStyle name="Comma 27 3 2" xfId="593" xr:uid="{00000000-0005-0000-0000-000059020000}"/>
    <cellStyle name="Comma 27 4" xfId="594" xr:uid="{00000000-0005-0000-0000-00005A020000}"/>
    <cellStyle name="Comma 28" xfId="595" xr:uid="{00000000-0005-0000-0000-00005B020000}"/>
    <cellStyle name="Comma 28 2" xfId="596" xr:uid="{00000000-0005-0000-0000-00005C020000}"/>
    <cellStyle name="Comma 28 2 2" xfId="597" xr:uid="{00000000-0005-0000-0000-00005D020000}"/>
    <cellStyle name="Comma 28 2 2 2" xfId="598" xr:uid="{00000000-0005-0000-0000-00005E020000}"/>
    <cellStyle name="Comma 28 2 3" xfId="599" xr:uid="{00000000-0005-0000-0000-00005F020000}"/>
    <cellStyle name="Comma 28 3" xfId="600" xr:uid="{00000000-0005-0000-0000-000060020000}"/>
    <cellStyle name="Comma 28 3 2" xfId="601" xr:uid="{00000000-0005-0000-0000-000061020000}"/>
    <cellStyle name="Comma 28 4" xfId="602" xr:uid="{00000000-0005-0000-0000-000062020000}"/>
    <cellStyle name="Comma 29" xfId="603" xr:uid="{00000000-0005-0000-0000-000063020000}"/>
    <cellStyle name="Comma 29 2" xfId="604" xr:uid="{00000000-0005-0000-0000-000064020000}"/>
    <cellStyle name="Comma 29 2 2" xfId="605" xr:uid="{00000000-0005-0000-0000-000065020000}"/>
    <cellStyle name="Comma 29 2 2 2" xfId="606" xr:uid="{00000000-0005-0000-0000-000066020000}"/>
    <cellStyle name="Comma 29 2 3" xfId="607" xr:uid="{00000000-0005-0000-0000-000067020000}"/>
    <cellStyle name="Comma 29 3" xfId="608" xr:uid="{00000000-0005-0000-0000-000068020000}"/>
    <cellStyle name="Comma 29 3 2" xfId="609" xr:uid="{00000000-0005-0000-0000-000069020000}"/>
    <cellStyle name="Comma 29 4" xfId="610" xr:uid="{00000000-0005-0000-0000-00006A020000}"/>
    <cellStyle name="Comma 3" xfId="611" xr:uid="{00000000-0005-0000-0000-00006B020000}"/>
    <cellStyle name="Comma 3 10" xfId="612" xr:uid="{00000000-0005-0000-0000-00006C020000}"/>
    <cellStyle name="Comma 3 11" xfId="613" xr:uid="{00000000-0005-0000-0000-00006D020000}"/>
    <cellStyle name="Comma 3 2" xfId="614" xr:uid="{00000000-0005-0000-0000-00006E020000}"/>
    <cellStyle name="Comma 3 2 2" xfId="615" xr:uid="{00000000-0005-0000-0000-00006F020000}"/>
    <cellStyle name="Comma 3 2 2 2" xfId="616" xr:uid="{00000000-0005-0000-0000-000070020000}"/>
    <cellStyle name="Comma 3 2 2 2 2" xfId="617" xr:uid="{00000000-0005-0000-0000-000071020000}"/>
    <cellStyle name="Comma 3 2 2 3" xfId="618" xr:uid="{00000000-0005-0000-0000-000072020000}"/>
    <cellStyle name="Comma 3 2 3" xfId="619" xr:uid="{00000000-0005-0000-0000-000073020000}"/>
    <cellStyle name="Comma 3 2 3 2" xfId="620" xr:uid="{00000000-0005-0000-0000-000074020000}"/>
    <cellStyle name="Comma 3 2 4" xfId="621" xr:uid="{00000000-0005-0000-0000-000075020000}"/>
    <cellStyle name="Comma 3 3" xfId="622" xr:uid="{00000000-0005-0000-0000-000076020000}"/>
    <cellStyle name="Comma 3 3 2" xfId="623" xr:uid="{00000000-0005-0000-0000-000077020000}"/>
    <cellStyle name="Comma 3 3 2 2" xfId="624" xr:uid="{00000000-0005-0000-0000-000078020000}"/>
    <cellStyle name="Comma 3 3 2 2 2" xfId="625" xr:uid="{00000000-0005-0000-0000-000079020000}"/>
    <cellStyle name="Comma 3 3 2 3" xfId="626" xr:uid="{00000000-0005-0000-0000-00007A020000}"/>
    <cellStyle name="Comma 3 3 3" xfId="627" xr:uid="{00000000-0005-0000-0000-00007B020000}"/>
    <cellStyle name="Comma 3 3 3 2" xfId="628" xr:uid="{00000000-0005-0000-0000-00007C020000}"/>
    <cellStyle name="Comma 3 3 4" xfId="629" xr:uid="{00000000-0005-0000-0000-00007D020000}"/>
    <cellStyle name="Comma 3 4" xfId="630" xr:uid="{00000000-0005-0000-0000-00007E020000}"/>
    <cellStyle name="Comma 3 4 2" xfId="631" xr:uid="{00000000-0005-0000-0000-00007F020000}"/>
    <cellStyle name="Comma 3 4 2 2" xfId="632" xr:uid="{00000000-0005-0000-0000-000080020000}"/>
    <cellStyle name="Comma 3 4 2 2 2" xfId="633" xr:uid="{00000000-0005-0000-0000-000081020000}"/>
    <cellStyle name="Comma 3 4 2 3" xfId="634" xr:uid="{00000000-0005-0000-0000-000082020000}"/>
    <cellStyle name="Comma 3 4 3" xfId="635" xr:uid="{00000000-0005-0000-0000-000083020000}"/>
    <cellStyle name="Comma 3 4 3 2" xfId="636" xr:uid="{00000000-0005-0000-0000-000084020000}"/>
    <cellStyle name="Comma 3 4 4" xfId="637" xr:uid="{00000000-0005-0000-0000-000085020000}"/>
    <cellStyle name="Comma 3 5" xfId="638" xr:uid="{00000000-0005-0000-0000-000086020000}"/>
    <cellStyle name="Comma 3 5 2" xfId="639" xr:uid="{00000000-0005-0000-0000-000087020000}"/>
    <cellStyle name="Comma 3 5 2 2" xfId="640" xr:uid="{00000000-0005-0000-0000-000088020000}"/>
    <cellStyle name="Comma 3 5 2 2 2" xfId="641" xr:uid="{00000000-0005-0000-0000-000089020000}"/>
    <cellStyle name="Comma 3 5 2 3" xfId="642" xr:uid="{00000000-0005-0000-0000-00008A020000}"/>
    <cellStyle name="Comma 3 5 3" xfId="643" xr:uid="{00000000-0005-0000-0000-00008B020000}"/>
    <cellStyle name="Comma 3 5 3 2" xfId="644" xr:uid="{00000000-0005-0000-0000-00008C020000}"/>
    <cellStyle name="Comma 3 5 4" xfId="645" xr:uid="{00000000-0005-0000-0000-00008D020000}"/>
    <cellStyle name="Comma 3 6" xfId="646" xr:uid="{00000000-0005-0000-0000-00008E020000}"/>
    <cellStyle name="Comma 3 6 2" xfId="647" xr:uid="{00000000-0005-0000-0000-00008F020000}"/>
    <cellStyle name="Comma 3 6 2 2" xfId="648" xr:uid="{00000000-0005-0000-0000-000090020000}"/>
    <cellStyle name="Comma 3 6 2 2 2" xfId="649" xr:uid="{00000000-0005-0000-0000-000091020000}"/>
    <cellStyle name="Comma 3 6 2 3" xfId="650" xr:uid="{00000000-0005-0000-0000-000092020000}"/>
    <cellStyle name="Comma 3 6 3" xfId="651" xr:uid="{00000000-0005-0000-0000-000093020000}"/>
    <cellStyle name="Comma 3 6 3 2" xfId="652" xr:uid="{00000000-0005-0000-0000-000094020000}"/>
    <cellStyle name="Comma 3 6 4" xfId="653" xr:uid="{00000000-0005-0000-0000-000095020000}"/>
    <cellStyle name="Comma 3 7" xfId="654" xr:uid="{00000000-0005-0000-0000-000096020000}"/>
    <cellStyle name="Comma 3 7 2" xfId="655" xr:uid="{00000000-0005-0000-0000-000097020000}"/>
    <cellStyle name="Comma 3 7 2 2" xfId="656" xr:uid="{00000000-0005-0000-0000-000098020000}"/>
    <cellStyle name="Comma 3 7 2 2 2" xfId="657" xr:uid="{00000000-0005-0000-0000-000099020000}"/>
    <cellStyle name="Comma 3 7 2 3" xfId="658" xr:uid="{00000000-0005-0000-0000-00009A020000}"/>
    <cellStyle name="Comma 3 7 3" xfId="659" xr:uid="{00000000-0005-0000-0000-00009B020000}"/>
    <cellStyle name="Comma 3 7 3 2" xfId="660" xr:uid="{00000000-0005-0000-0000-00009C020000}"/>
    <cellStyle name="Comma 3 7 4" xfId="661" xr:uid="{00000000-0005-0000-0000-00009D020000}"/>
    <cellStyle name="Comma 3 8" xfId="662" xr:uid="{00000000-0005-0000-0000-00009E020000}"/>
    <cellStyle name="Comma 3 8 2" xfId="663" xr:uid="{00000000-0005-0000-0000-00009F020000}"/>
    <cellStyle name="Comma 3 8 2 2" xfId="664" xr:uid="{00000000-0005-0000-0000-0000A0020000}"/>
    <cellStyle name="Comma 3 8 3" xfId="665" xr:uid="{00000000-0005-0000-0000-0000A1020000}"/>
    <cellStyle name="Comma 3 9" xfId="666" xr:uid="{00000000-0005-0000-0000-0000A2020000}"/>
    <cellStyle name="Comma 3 9 2" xfId="667" xr:uid="{00000000-0005-0000-0000-0000A3020000}"/>
    <cellStyle name="Comma 30" xfId="668" xr:uid="{00000000-0005-0000-0000-0000A4020000}"/>
    <cellStyle name="Comma 30 2" xfId="669" xr:uid="{00000000-0005-0000-0000-0000A5020000}"/>
    <cellStyle name="Comma 30 2 2" xfId="670" xr:uid="{00000000-0005-0000-0000-0000A6020000}"/>
    <cellStyle name="Comma 30 2 2 2" xfId="671" xr:uid="{00000000-0005-0000-0000-0000A7020000}"/>
    <cellStyle name="Comma 30 2 3" xfId="672" xr:uid="{00000000-0005-0000-0000-0000A8020000}"/>
    <cellStyle name="Comma 30 3" xfId="673" xr:uid="{00000000-0005-0000-0000-0000A9020000}"/>
    <cellStyle name="Comma 30 3 2" xfId="674" xr:uid="{00000000-0005-0000-0000-0000AA020000}"/>
    <cellStyle name="Comma 30 4" xfId="675" xr:uid="{00000000-0005-0000-0000-0000AB020000}"/>
    <cellStyle name="Comma 31" xfId="676" xr:uid="{00000000-0005-0000-0000-0000AC020000}"/>
    <cellStyle name="Comma 31 2" xfId="677" xr:uid="{00000000-0005-0000-0000-0000AD020000}"/>
    <cellStyle name="Comma 31 2 2" xfId="678" xr:uid="{00000000-0005-0000-0000-0000AE020000}"/>
    <cellStyle name="Comma 31 2 2 2" xfId="679" xr:uid="{00000000-0005-0000-0000-0000AF020000}"/>
    <cellStyle name="Comma 31 2 3" xfId="680" xr:uid="{00000000-0005-0000-0000-0000B0020000}"/>
    <cellStyle name="Comma 31 3" xfId="681" xr:uid="{00000000-0005-0000-0000-0000B1020000}"/>
    <cellStyle name="Comma 31 3 2" xfId="682" xr:uid="{00000000-0005-0000-0000-0000B2020000}"/>
    <cellStyle name="Comma 31 4" xfId="683" xr:uid="{00000000-0005-0000-0000-0000B3020000}"/>
    <cellStyle name="Comma 32" xfId="684" xr:uid="{00000000-0005-0000-0000-0000B4020000}"/>
    <cellStyle name="Comma 32 2" xfId="685" xr:uid="{00000000-0005-0000-0000-0000B5020000}"/>
    <cellStyle name="Comma 32 2 2" xfId="686" xr:uid="{00000000-0005-0000-0000-0000B6020000}"/>
    <cellStyle name="Comma 32 2 2 2" xfId="687" xr:uid="{00000000-0005-0000-0000-0000B7020000}"/>
    <cellStyle name="Comma 32 2 3" xfId="688" xr:uid="{00000000-0005-0000-0000-0000B8020000}"/>
    <cellStyle name="Comma 32 3" xfId="689" xr:uid="{00000000-0005-0000-0000-0000B9020000}"/>
    <cellStyle name="Comma 32 3 2" xfId="690" xr:uid="{00000000-0005-0000-0000-0000BA020000}"/>
    <cellStyle name="Comma 32 4" xfId="691" xr:uid="{00000000-0005-0000-0000-0000BB020000}"/>
    <cellStyle name="Comma 33" xfId="692" xr:uid="{00000000-0005-0000-0000-0000BC020000}"/>
    <cellStyle name="Comma 33 2" xfId="693" xr:uid="{00000000-0005-0000-0000-0000BD020000}"/>
    <cellStyle name="Comma 33 2 2" xfId="694" xr:uid="{00000000-0005-0000-0000-0000BE020000}"/>
    <cellStyle name="Comma 33 2 2 2" xfId="695" xr:uid="{00000000-0005-0000-0000-0000BF020000}"/>
    <cellStyle name="Comma 33 2 3" xfId="696" xr:uid="{00000000-0005-0000-0000-0000C0020000}"/>
    <cellStyle name="Comma 33 3" xfId="697" xr:uid="{00000000-0005-0000-0000-0000C1020000}"/>
    <cellStyle name="Comma 33 3 2" xfId="698" xr:uid="{00000000-0005-0000-0000-0000C2020000}"/>
    <cellStyle name="Comma 33 4" xfId="699" xr:uid="{00000000-0005-0000-0000-0000C3020000}"/>
    <cellStyle name="Comma 34" xfId="700" xr:uid="{00000000-0005-0000-0000-0000C4020000}"/>
    <cellStyle name="Comma 34 2" xfId="701" xr:uid="{00000000-0005-0000-0000-0000C5020000}"/>
    <cellStyle name="Comma 34 2 2" xfId="702" xr:uid="{00000000-0005-0000-0000-0000C6020000}"/>
    <cellStyle name="Comma 34 2 2 2" xfId="703" xr:uid="{00000000-0005-0000-0000-0000C7020000}"/>
    <cellStyle name="Comma 34 2 3" xfId="704" xr:uid="{00000000-0005-0000-0000-0000C8020000}"/>
    <cellStyle name="Comma 34 3" xfId="705" xr:uid="{00000000-0005-0000-0000-0000C9020000}"/>
    <cellStyle name="Comma 34 3 2" xfId="706" xr:uid="{00000000-0005-0000-0000-0000CA020000}"/>
    <cellStyle name="Comma 34 4" xfId="707" xr:uid="{00000000-0005-0000-0000-0000CB020000}"/>
    <cellStyle name="Comma 35" xfId="708" xr:uid="{00000000-0005-0000-0000-0000CC020000}"/>
    <cellStyle name="Comma 35 2" xfId="709" xr:uid="{00000000-0005-0000-0000-0000CD020000}"/>
    <cellStyle name="Comma 35 2 2" xfId="710" xr:uid="{00000000-0005-0000-0000-0000CE020000}"/>
    <cellStyle name="Comma 35 2 2 2" xfId="711" xr:uid="{00000000-0005-0000-0000-0000CF020000}"/>
    <cellStyle name="Comma 35 2 3" xfId="712" xr:uid="{00000000-0005-0000-0000-0000D0020000}"/>
    <cellStyle name="Comma 35 3" xfId="713" xr:uid="{00000000-0005-0000-0000-0000D1020000}"/>
    <cellStyle name="Comma 35 3 2" xfId="714" xr:uid="{00000000-0005-0000-0000-0000D2020000}"/>
    <cellStyle name="Comma 35 4" xfId="715" xr:uid="{00000000-0005-0000-0000-0000D3020000}"/>
    <cellStyle name="Comma 36" xfId="716" xr:uid="{00000000-0005-0000-0000-0000D4020000}"/>
    <cellStyle name="Comma 36 2" xfId="717" xr:uid="{00000000-0005-0000-0000-0000D5020000}"/>
    <cellStyle name="Comma 36 2 2" xfId="718" xr:uid="{00000000-0005-0000-0000-0000D6020000}"/>
    <cellStyle name="Comma 36 2 2 2" xfId="719" xr:uid="{00000000-0005-0000-0000-0000D7020000}"/>
    <cellStyle name="Comma 36 2 3" xfId="720" xr:uid="{00000000-0005-0000-0000-0000D8020000}"/>
    <cellStyle name="Comma 36 3" xfId="721" xr:uid="{00000000-0005-0000-0000-0000D9020000}"/>
    <cellStyle name="Comma 36 3 2" xfId="722" xr:uid="{00000000-0005-0000-0000-0000DA020000}"/>
    <cellStyle name="Comma 36 4" xfId="723" xr:uid="{00000000-0005-0000-0000-0000DB020000}"/>
    <cellStyle name="Comma 37" xfId="724" xr:uid="{00000000-0005-0000-0000-0000DC020000}"/>
    <cellStyle name="Comma 37 2" xfId="725" xr:uid="{00000000-0005-0000-0000-0000DD020000}"/>
    <cellStyle name="Comma 37 2 2" xfId="726" xr:uid="{00000000-0005-0000-0000-0000DE020000}"/>
    <cellStyle name="Comma 37 2 2 2" xfId="727" xr:uid="{00000000-0005-0000-0000-0000DF020000}"/>
    <cellStyle name="Comma 37 2 3" xfId="728" xr:uid="{00000000-0005-0000-0000-0000E0020000}"/>
    <cellStyle name="Comma 37 3" xfId="729" xr:uid="{00000000-0005-0000-0000-0000E1020000}"/>
    <cellStyle name="Comma 37 3 2" xfId="730" xr:uid="{00000000-0005-0000-0000-0000E2020000}"/>
    <cellStyle name="Comma 37 4" xfId="731" xr:uid="{00000000-0005-0000-0000-0000E3020000}"/>
    <cellStyle name="Comma 38" xfId="732" xr:uid="{00000000-0005-0000-0000-0000E4020000}"/>
    <cellStyle name="Comma 38 2" xfId="733" xr:uid="{00000000-0005-0000-0000-0000E5020000}"/>
    <cellStyle name="Comma 38 2 2" xfId="734" xr:uid="{00000000-0005-0000-0000-0000E6020000}"/>
    <cellStyle name="Comma 38 2 2 2" xfId="735" xr:uid="{00000000-0005-0000-0000-0000E7020000}"/>
    <cellStyle name="Comma 38 2 3" xfId="736" xr:uid="{00000000-0005-0000-0000-0000E8020000}"/>
    <cellStyle name="Comma 38 3" xfId="737" xr:uid="{00000000-0005-0000-0000-0000E9020000}"/>
    <cellStyle name="Comma 38 3 2" xfId="738" xr:uid="{00000000-0005-0000-0000-0000EA020000}"/>
    <cellStyle name="Comma 38 4" xfId="739" xr:uid="{00000000-0005-0000-0000-0000EB020000}"/>
    <cellStyle name="Comma 39" xfId="740" xr:uid="{00000000-0005-0000-0000-0000EC020000}"/>
    <cellStyle name="Comma 39 2" xfId="741" xr:uid="{00000000-0005-0000-0000-0000ED020000}"/>
    <cellStyle name="Comma 39 2 2" xfId="742" xr:uid="{00000000-0005-0000-0000-0000EE020000}"/>
    <cellStyle name="Comma 39 2 2 2" xfId="743" xr:uid="{00000000-0005-0000-0000-0000EF020000}"/>
    <cellStyle name="Comma 39 2 3" xfId="744" xr:uid="{00000000-0005-0000-0000-0000F0020000}"/>
    <cellStyle name="Comma 39 3" xfId="745" xr:uid="{00000000-0005-0000-0000-0000F1020000}"/>
    <cellStyle name="Comma 39 3 2" xfId="746" xr:uid="{00000000-0005-0000-0000-0000F2020000}"/>
    <cellStyle name="Comma 39 4" xfId="747" xr:uid="{00000000-0005-0000-0000-0000F3020000}"/>
    <cellStyle name="Comma 4" xfId="748" xr:uid="{00000000-0005-0000-0000-0000F4020000}"/>
    <cellStyle name="Comma 4 2" xfId="749" xr:uid="{00000000-0005-0000-0000-0000F5020000}"/>
    <cellStyle name="Comma 4 2 2" xfId="750" xr:uid="{00000000-0005-0000-0000-0000F6020000}"/>
    <cellStyle name="Comma 4 2 2 2" xfId="751" xr:uid="{00000000-0005-0000-0000-0000F7020000}"/>
    <cellStyle name="Comma 4 2 2 2 2" xfId="752" xr:uid="{00000000-0005-0000-0000-0000F8020000}"/>
    <cellStyle name="Comma 4 2 2 3" xfId="753" xr:uid="{00000000-0005-0000-0000-0000F9020000}"/>
    <cellStyle name="Comma 4 2 3" xfId="754" xr:uid="{00000000-0005-0000-0000-0000FA020000}"/>
    <cellStyle name="Comma 4 2 3 2" xfId="755" xr:uid="{00000000-0005-0000-0000-0000FB020000}"/>
    <cellStyle name="Comma 4 2 4" xfId="756" xr:uid="{00000000-0005-0000-0000-0000FC020000}"/>
    <cellStyle name="Comma 4 3" xfId="757" xr:uid="{00000000-0005-0000-0000-0000FD020000}"/>
    <cellStyle name="Comma 4 3 2" xfId="758" xr:uid="{00000000-0005-0000-0000-0000FE020000}"/>
    <cellStyle name="Comma 4 3 2 2" xfId="759" xr:uid="{00000000-0005-0000-0000-0000FF020000}"/>
    <cellStyle name="Comma 4 3 2 2 2" xfId="760" xr:uid="{00000000-0005-0000-0000-000000030000}"/>
    <cellStyle name="Comma 4 3 2 3" xfId="761" xr:uid="{00000000-0005-0000-0000-000001030000}"/>
    <cellStyle name="Comma 4 3 3" xfId="762" xr:uid="{00000000-0005-0000-0000-000002030000}"/>
    <cellStyle name="Comma 4 3 3 2" xfId="763" xr:uid="{00000000-0005-0000-0000-000003030000}"/>
    <cellStyle name="Comma 4 3 4" xfId="764" xr:uid="{00000000-0005-0000-0000-000004030000}"/>
    <cellStyle name="Comma 4 4" xfId="765" xr:uid="{00000000-0005-0000-0000-000005030000}"/>
    <cellStyle name="Comma 4 4 2" xfId="766" xr:uid="{00000000-0005-0000-0000-000006030000}"/>
    <cellStyle name="Comma 4 4 2 2" xfId="767" xr:uid="{00000000-0005-0000-0000-000007030000}"/>
    <cellStyle name="Comma 4 4 3" xfId="768" xr:uid="{00000000-0005-0000-0000-000008030000}"/>
    <cellStyle name="Comma 4 5" xfId="769" xr:uid="{00000000-0005-0000-0000-000009030000}"/>
    <cellStyle name="Comma 4 5 2" xfId="770" xr:uid="{00000000-0005-0000-0000-00000A030000}"/>
    <cellStyle name="Comma 4 6" xfId="771" xr:uid="{00000000-0005-0000-0000-00000B030000}"/>
    <cellStyle name="Comma 40" xfId="772" xr:uid="{00000000-0005-0000-0000-00000C030000}"/>
    <cellStyle name="Comma 40 2" xfId="773" xr:uid="{00000000-0005-0000-0000-00000D030000}"/>
    <cellStyle name="Comma 40 2 2" xfId="774" xr:uid="{00000000-0005-0000-0000-00000E030000}"/>
    <cellStyle name="Comma 40 2 2 2" xfId="775" xr:uid="{00000000-0005-0000-0000-00000F030000}"/>
    <cellStyle name="Comma 40 2 3" xfId="776" xr:uid="{00000000-0005-0000-0000-000010030000}"/>
    <cellStyle name="Comma 40 3" xfId="777" xr:uid="{00000000-0005-0000-0000-000011030000}"/>
    <cellStyle name="Comma 40 3 2" xfId="778" xr:uid="{00000000-0005-0000-0000-000012030000}"/>
    <cellStyle name="Comma 40 4" xfId="779" xr:uid="{00000000-0005-0000-0000-000013030000}"/>
    <cellStyle name="Comma 41" xfId="780" xr:uid="{00000000-0005-0000-0000-000014030000}"/>
    <cellStyle name="Comma 41 2" xfId="781" xr:uid="{00000000-0005-0000-0000-000015030000}"/>
    <cellStyle name="Comma 41 2 2" xfId="782" xr:uid="{00000000-0005-0000-0000-000016030000}"/>
    <cellStyle name="Comma 41 2 2 2" xfId="783" xr:uid="{00000000-0005-0000-0000-000017030000}"/>
    <cellStyle name="Comma 41 2 3" xfId="784" xr:uid="{00000000-0005-0000-0000-000018030000}"/>
    <cellStyle name="Comma 41 3" xfId="785" xr:uid="{00000000-0005-0000-0000-000019030000}"/>
    <cellStyle name="Comma 41 3 2" xfId="786" xr:uid="{00000000-0005-0000-0000-00001A030000}"/>
    <cellStyle name="Comma 41 4" xfId="787" xr:uid="{00000000-0005-0000-0000-00001B030000}"/>
    <cellStyle name="Comma 42" xfId="788" xr:uid="{00000000-0005-0000-0000-00001C030000}"/>
    <cellStyle name="Comma 42 2" xfId="789" xr:uid="{00000000-0005-0000-0000-00001D030000}"/>
    <cellStyle name="Comma 42 2 2" xfId="790" xr:uid="{00000000-0005-0000-0000-00001E030000}"/>
    <cellStyle name="Comma 42 2 2 2" xfId="791" xr:uid="{00000000-0005-0000-0000-00001F030000}"/>
    <cellStyle name="Comma 42 2 3" xfId="792" xr:uid="{00000000-0005-0000-0000-000020030000}"/>
    <cellStyle name="Comma 42 3" xfId="793" xr:uid="{00000000-0005-0000-0000-000021030000}"/>
    <cellStyle name="Comma 42 3 2" xfId="794" xr:uid="{00000000-0005-0000-0000-000022030000}"/>
    <cellStyle name="Comma 42 4" xfId="795" xr:uid="{00000000-0005-0000-0000-000023030000}"/>
    <cellStyle name="Comma 43" xfId="796" xr:uid="{00000000-0005-0000-0000-000024030000}"/>
    <cellStyle name="Comma 43 2" xfId="797" xr:uid="{00000000-0005-0000-0000-000025030000}"/>
    <cellStyle name="Comma 43 2 2" xfId="798" xr:uid="{00000000-0005-0000-0000-000026030000}"/>
    <cellStyle name="Comma 43 2 2 2" xfId="799" xr:uid="{00000000-0005-0000-0000-000027030000}"/>
    <cellStyle name="Comma 43 2 3" xfId="800" xr:uid="{00000000-0005-0000-0000-000028030000}"/>
    <cellStyle name="Comma 43 3" xfId="801" xr:uid="{00000000-0005-0000-0000-000029030000}"/>
    <cellStyle name="Comma 43 3 2" xfId="802" xr:uid="{00000000-0005-0000-0000-00002A030000}"/>
    <cellStyle name="Comma 43 4" xfId="803" xr:uid="{00000000-0005-0000-0000-00002B030000}"/>
    <cellStyle name="Comma 44" xfId="804" xr:uid="{00000000-0005-0000-0000-00002C030000}"/>
    <cellStyle name="Comma 44 2" xfId="805" xr:uid="{00000000-0005-0000-0000-00002D030000}"/>
    <cellStyle name="Comma 44 2 2" xfId="806" xr:uid="{00000000-0005-0000-0000-00002E030000}"/>
    <cellStyle name="Comma 44 2 2 2" xfId="807" xr:uid="{00000000-0005-0000-0000-00002F030000}"/>
    <cellStyle name="Comma 44 2 3" xfId="808" xr:uid="{00000000-0005-0000-0000-000030030000}"/>
    <cellStyle name="Comma 44 3" xfId="809" xr:uid="{00000000-0005-0000-0000-000031030000}"/>
    <cellStyle name="Comma 44 3 2" xfId="810" xr:uid="{00000000-0005-0000-0000-000032030000}"/>
    <cellStyle name="Comma 44 4" xfId="811" xr:uid="{00000000-0005-0000-0000-000033030000}"/>
    <cellStyle name="Comma 45" xfId="812" xr:uid="{00000000-0005-0000-0000-000034030000}"/>
    <cellStyle name="Comma 45 2" xfId="813" xr:uid="{00000000-0005-0000-0000-000035030000}"/>
    <cellStyle name="Comma 45 2 2" xfId="814" xr:uid="{00000000-0005-0000-0000-000036030000}"/>
    <cellStyle name="Comma 45 2 2 2" xfId="815" xr:uid="{00000000-0005-0000-0000-000037030000}"/>
    <cellStyle name="Comma 45 2 3" xfId="816" xr:uid="{00000000-0005-0000-0000-000038030000}"/>
    <cellStyle name="Comma 45 3" xfId="817" xr:uid="{00000000-0005-0000-0000-000039030000}"/>
    <cellStyle name="Comma 45 3 2" xfId="818" xr:uid="{00000000-0005-0000-0000-00003A030000}"/>
    <cellStyle name="Comma 45 4" xfId="819" xr:uid="{00000000-0005-0000-0000-00003B030000}"/>
    <cellStyle name="Comma 46" xfId="820" xr:uid="{00000000-0005-0000-0000-00003C030000}"/>
    <cellStyle name="Comma 46 2" xfId="821" xr:uid="{00000000-0005-0000-0000-00003D030000}"/>
    <cellStyle name="Comma 46 2 2" xfId="822" xr:uid="{00000000-0005-0000-0000-00003E030000}"/>
    <cellStyle name="Comma 46 2 2 2" xfId="823" xr:uid="{00000000-0005-0000-0000-00003F030000}"/>
    <cellStyle name="Comma 46 2 3" xfId="824" xr:uid="{00000000-0005-0000-0000-000040030000}"/>
    <cellStyle name="Comma 46 3" xfId="825" xr:uid="{00000000-0005-0000-0000-000041030000}"/>
    <cellStyle name="Comma 46 3 2" xfId="826" xr:uid="{00000000-0005-0000-0000-000042030000}"/>
    <cellStyle name="Comma 46 4" xfId="827" xr:uid="{00000000-0005-0000-0000-000043030000}"/>
    <cellStyle name="Comma 47" xfId="828" xr:uid="{00000000-0005-0000-0000-000044030000}"/>
    <cellStyle name="Comma 47 2" xfId="829" xr:uid="{00000000-0005-0000-0000-000045030000}"/>
    <cellStyle name="Comma 47 2 2" xfId="830" xr:uid="{00000000-0005-0000-0000-000046030000}"/>
    <cellStyle name="Comma 47 2 2 2" xfId="831" xr:uid="{00000000-0005-0000-0000-000047030000}"/>
    <cellStyle name="Comma 47 2 3" xfId="832" xr:uid="{00000000-0005-0000-0000-000048030000}"/>
    <cellStyle name="Comma 47 3" xfId="833" xr:uid="{00000000-0005-0000-0000-000049030000}"/>
    <cellStyle name="Comma 47 3 2" xfId="834" xr:uid="{00000000-0005-0000-0000-00004A030000}"/>
    <cellStyle name="Comma 47 4" xfId="835" xr:uid="{00000000-0005-0000-0000-00004B030000}"/>
    <cellStyle name="Comma 48" xfId="836" xr:uid="{00000000-0005-0000-0000-00004C030000}"/>
    <cellStyle name="Comma 48 2" xfId="837" xr:uid="{00000000-0005-0000-0000-00004D030000}"/>
    <cellStyle name="Comma 48 2 2" xfId="838" xr:uid="{00000000-0005-0000-0000-00004E030000}"/>
    <cellStyle name="Comma 48 2 2 2" xfId="839" xr:uid="{00000000-0005-0000-0000-00004F030000}"/>
    <cellStyle name="Comma 48 2 3" xfId="840" xr:uid="{00000000-0005-0000-0000-000050030000}"/>
    <cellStyle name="Comma 48 3" xfId="841" xr:uid="{00000000-0005-0000-0000-000051030000}"/>
    <cellStyle name="Comma 48 3 2" xfId="842" xr:uid="{00000000-0005-0000-0000-000052030000}"/>
    <cellStyle name="Comma 48 4" xfId="843" xr:uid="{00000000-0005-0000-0000-000053030000}"/>
    <cellStyle name="Comma 49" xfId="844" xr:uid="{00000000-0005-0000-0000-000054030000}"/>
    <cellStyle name="Comma 49 2" xfId="845" xr:uid="{00000000-0005-0000-0000-000055030000}"/>
    <cellStyle name="Comma 49 2 2" xfId="846" xr:uid="{00000000-0005-0000-0000-000056030000}"/>
    <cellStyle name="Comma 49 2 2 2" xfId="847" xr:uid="{00000000-0005-0000-0000-000057030000}"/>
    <cellStyle name="Comma 49 2 3" xfId="848" xr:uid="{00000000-0005-0000-0000-000058030000}"/>
    <cellStyle name="Comma 49 3" xfId="849" xr:uid="{00000000-0005-0000-0000-000059030000}"/>
    <cellStyle name="Comma 49 3 2" xfId="850" xr:uid="{00000000-0005-0000-0000-00005A030000}"/>
    <cellStyle name="Comma 49 4" xfId="851" xr:uid="{00000000-0005-0000-0000-00005B030000}"/>
    <cellStyle name="Comma 5" xfId="852" xr:uid="{00000000-0005-0000-0000-00005C030000}"/>
    <cellStyle name="Comma 5 2" xfId="853" xr:uid="{00000000-0005-0000-0000-00005D030000}"/>
    <cellStyle name="Comma 5 2 2" xfId="854" xr:uid="{00000000-0005-0000-0000-00005E030000}"/>
    <cellStyle name="Comma 5 2 2 2" xfId="855" xr:uid="{00000000-0005-0000-0000-00005F030000}"/>
    <cellStyle name="Comma 5 2 2 2 2" xfId="856" xr:uid="{00000000-0005-0000-0000-000060030000}"/>
    <cellStyle name="Comma 5 2 2 2 2 2" xfId="857" xr:uid="{00000000-0005-0000-0000-000061030000}"/>
    <cellStyle name="Comma 5 2 2 2 3" xfId="858" xr:uid="{00000000-0005-0000-0000-000062030000}"/>
    <cellStyle name="Comma 5 2 2 3" xfId="859" xr:uid="{00000000-0005-0000-0000-000063030000}"/>
    <cellStyle name="Comma 5 2 2 3 2" xfId="860" xr:uid="{00000000-0005-0000-0000-000064030000}"/>
    <cellStyle name="Comma 5 2 2 4" xfId="861" xr:uid="{00000000-0005-0000-0000-000065030000}"/>
    <cellStyle name="Comma 5 2 3" xfId="862" xr:uid="{00000000-0005-0000-0000-000066030000}"/>
    <cellStyle name="Comma 5 2 3 2" xfId="863" xr:uid="{00000000-0005-0000-0000-000067030000}"/>
    <cellStyle name="Comma 5 2 3 2 2" xfId="864" xr:uid="{00000000-0005-0000-0000-000068030000}"/>
    <cellStyle name="Comma 5 2 3 2 2 2" xfId="865" xr:uid="{00000000-0005-0000-0000-000069030000}"/>
    <cellStyle name="Comma 5 2 3 2 3" xfId="866" xr:uid="{00000000-0005-0000-0000-00006A030000}"/>
    <cellStyle name="Comma 5 2 3 3" xfId="867" xr:uid="{00000000-0005-0000-0000-00006B030000}"/>
    <cellStyle name="Comma 5 2 3 3 2" xfId="868" xr:uid="{00000000-0005-0000-0000-00006C030000}"/>
    <cellStyle name="Comma 5 2 3 4" xfId="869" xr:uid="{00000000-0005-0000-0000-00006D030000}"/>
    <cellStyle name="Comma 5 2 4" xfId="870" xr:uid="{00000000-0005-0000-0000-00006E030000}"/>
    <cellStyle name="Comma 5 2 4 2" xfId="871" xr:uid="{00000000-0005-0000-0000-00006F030000}"/>
    <cellStyle name="Comma 5 2 4 2 2" xfId="872" xr:uid="{00000000-0005-0000-0000-000070030000}"/>
    <cellStyle name="Comma 5 2 4 3" xfId="873" xr:uid="{00000000-0005-0000-0000-000071030000}"/>
    <cellStyle name="Comma 5 2 5" xfId="874" xr:uid="{00000000-0005-0000-0000-000072030000}"/>
    <cellStyle name="Comma 5 2 5 2" xfId="875" xr:uid="{00000000-0005-0000-0000-000073030000}"/>
    <cellStyle name="Comma 5 2 6" xfId="876" xr:uid="{00000000-0005-0000-0000-000074030000}"/>
    <cellStyle name="Comma 5 3" xfId="877" xr:uid="{00000000-0005-0000-0000-000075030000}"/>
    <cellStyle name="Comma 5 3 2" xfId="878" xr:uid="{00000000-0005-0000-0000-000076030000}"/>
    <cellStyle name="Comma 5 3 2 2" xfId="879" xr:uid="{00000000-0005-0000-0000-000077030000}"/>
    <cellStyle name="Comma 5 3 2 2 2" xfId="880" xr:uid="{00000000-0005-0000-0000-000078030000}"/>
    <cellStyle name="Comma 5 3 2 3" xfId="881" xr:uid="{00000000-0005-0000-0000-000079030000}"/>
    <cellStyle name="Comma 5 3 3" xfId="882" xr:uid="{00000000-0005-0000-0000-00007A030000}"/>
    <cellStyle name="Comma 5 3 3 2" xfId="883" xr:uid="{00000000-0005-0000-0000-00007B030000}"/>
    <cellStyle name="Comma 5 3 4" xfId="884" xr:uid="{00000000-0005-0000-0000-00007C030000}"/>
    <cellStyle name="Comma 5 4" xfId="885" xr:uid="{00000000-0005-0000-0000-00007D030000}"/>
    <cellStyle name="Comma 5 4 2" xfId="886" xr:uid="{00000000-0005-0000-0000-00007E030000}"/>
    <cellStyle name="Comma 5 4 2 2" xfId="887" xr:uid="{00000000-0005-0000-0000-00007F030000}"/>
    <cellStyle name="Comma 5 4 2 2 2" xfId="888" xr:uid="{00000000-0005-0000-0000-000080030000}"/>
    <cellStyle name="Comma 5 4 2 3" xfId="889" xr:uid="{00000000-0005-0000-0000-000081030000}"/>
    <cellStyle name="Comma 5 4 3" xfId="890" xr:uid="{00000000-0005-0000-0000-000082030000}"/>
    <cellStyle name="Comma 5 4 3 2" xfId="891" xr:uid="{00000000-0005-0000-0000-000083030000}"/>
    <cellStyle name="Comma 5 4 4" xfId="892" xr:uid="{00000000-0005-0000-0000-000084030000}"/>
    <cellStyle name="Comma 5 5" xfId="893" xr:uid="{00000000-0005-0000-0000-000085030000}"/>
    <cellStyle name="Comma 5 5 2" xfId="894" xr:uid="{00000000-0005-0000-0000-000086030000}"/>
    <cellStyle name="Comma 5 5 2 2" xfId="895" xr:uid="{00000000-0005-0000-0000-000087030000}"/>
    <cellStyle name="Comma 5 5 3" xfId="896" xr:uid="{00000000-0005-0000-0000-000088030000}"/>
    <cellStyle name="Comma 5 6" xfId="897" xr:uid="{00000000-0005-0000-0000-000089030000}"/>
    <cellStyle name="Comma 5 6 2" xfId="898" xr:uid="{00000000-0005-0000-0000-00008A030000}"/>
    <cellStyle name="Comma 5 7" xfId="899" xr:uid="{00000000-0005-0000-0000-00008B030000}"/>
    <cellStyle name="Comma 50" xfId="900" xr:uid="{00000000-0005-0000-0000-00008C030000}"/>
    <cellStyle name="Comma 50 2" xfId="901" xr:uid="{00000000-0005-0000-0000-00008D030000}"/>
    <cellStyle name="Comma 50 2 2" xfId="902" xr:uid="{00000000-0005-0000-0000-00008E030000}"/>
    <cellStyle name="Comma 50 2 2 2" xfId="903" xr:uid="{00000000-0005-0000-0000-00008F030000}"/>
    <cellStyle name="Comma 50 2 3" xfId="904" xr:uid="{00000000-0005-0000-0000-000090030000}"/>
    <cellStyle name="Comma 50 3" xfId="905" xr:uid="{00000000-0005-0000-0000-000091030000}"/>
    <cellStyle name="Comma 50 3 2" xfId="906" xr:uid="{00000000-0005-0000-0000-000092030000}"/>
    <cellStyle name="Comma 50 4" xfId="907" xr:uid="{00000000-0005-0000-0000-000093030000}"/>
    <cellStyle name="Comma 51" xfId="908" xr:uid="{00000000-0005-0000-0000-000094030000}"/>
    <cellStyle name="Comma 51 2" xfId="909" xr:uid="{00000000-0005-0000-0000-000095030000}"/>
    <cellStyle name="Comma 51 2 2" xfId="910" xr:uid="{00000000-0005-0000-0000-000096030000}"/>
    <cellStyle name="Comma 51 2 2 2" xfId="911" xr:uid="{00000000-0005-0000-0000-000097030000}"/>
    <cellStyle name="Comma 51 2 3" xfId="912" xr:uid="{00000000-0005-0000-0000-000098030000}"/>
    <cellStyle name="Comma 51 3" xfId="913" xr:uid="{00000000-0005-0000-0000-000099030000}"/>
    <cellStyle name="Comma 51 3 2" xfId="914" xr:uid="{00000000-0005-0000-0000-00009A030000}"/>
    <cellStyle name="Comma 51 4" xfId="915" xr:uid="{00000000-0005-0000-0000-00009B030000}"/>
    <cellStyle name="Comma 52" xfId="916" xr:uid="{00000000-0005-0000-0000-00009C030000}"/>
    <cellStyle name="Comma 52 2" xfId="917" xr:uid="{00000000-0005-0000-0000-00009D030000}"/>
    <cellStyle name="Comma 52 2 2" xfId="918" xr:uid="{00000000-0005-0000-0000-00009E030000}"/>
    <cellStyle name="Comma 52 2 2 2" xfId="919" xr:uid="{00000000-0005-0000-0000-00009F030000}"/>
    <cellStyle name="Comma 52 2 3" xfId="920" xr:uid="{00000000-0005-0000-0000-0000A0030000}"/>
    <cellStyle name="Comma 52 3" xfId="921" xr:uid="{00000000-0005-0000-0000-0000A1030000}"/>
    <cellStyle name="Comma 52 3 2" xfId="922" xr:uid="{00000000-0005-0000-0000-0000A2030000}"/>
    <cellStyle name="Comma 52 4" xfId="923" xr:uid="{00000000-0005-0000-0000-0000A3030000}"/>
    <cellStyle name="Comma 53" xfId="924" xr:uid="{00000000-0005-0000-0000-0000A4030000}"/>
    <cellStyle name="Comma 53 2" xfId="925" xr:uid="{00000000-0005-0000-0000-0000A5030000}"/>
    <cellStyle name="Comma 53 2 2" xfId="926" xr:uid="{00000000-0005-0000-0000-0000A6030000}"/>
    <cellStyle name="Comma 53 2 2 2" xfId="927" xr:uid="{00000000-0005-0000-0000-0000A7030000}"/>
    <cellStyle name="Comma 53 2 3" xfId="928" xr:uid="{00000000-0005-0000-0000-0000A8030000}"/>
    <cellStyle name="Comma 53 3" xfId="929" xr:uid="{00000000-0005-0000-0000-0000A9030000}"/>
    <cellStyle name="Comma 53 3 2" xfId="930" xr:uid="{00000000-0005-0000-0000-0000AA030000}"/>
    <cellStyle name="Comma 53 4" xfId="931" xr:uid="{00000000-0005-0000-0000-0000AB030000}"/>
    <cellStyle name="Comma 54" xfId="932" xr:uid="{00000000-0005-0000-0000-0000AC030000}"/>
    <cellStyle name="Comma 54 2" xfId="933" xr:uid="{00000000-0005-0000-0000-0000AD030000}"/>
    <cellStyle name="Comma 54 2 2" xfId="934" xr:uid="{00000000-0005-0000-0000-0000AE030000}"/>
    <cellStyle name="Comma 54 2 2 2" xfId="935" xr:uid="{00000000-0005-0000-0000-0000AF030000}"/>
    <cellStyle name="Comma 54 2 3" xfId="936" xr:uid="{00000000-0005-0000-0000-0000B0030000}"/>
    <cellStyle name="Comma 54 3" xfId="937" xr:uid="{00000000-0005-0000-0000-0000B1030000}"/>
    <cellStyle name="Comma 54 3 2" xfId="938" xr:uid="{00000000-0005-0000-0000-0000B2030000}"/>
    <cellStyle name="Comma 54 4" xfId="939" xr:uid="{00000000-0005-0000-0000-0000B3030000}"/>
    <cellStyle name="Comma 55" xfId="940" xr:uid="{00000000-0005-0000-0000-0000B4030000}"/>
    <cellStyle name="Comma 55 2" xfId="941" xr:uid="{00000000-0005-0000-0000-0000B5030000}"/>
    <cellStyle name="Comma 55 2 2" xfId="942" xr:uid="{00000000-0005-0000-0000-0000B6030000}"/>
    <cellStyle name="Comma 55 2 2 2" xfId="943" xr:uid="{00000000-0005-0000-0000-0000B7030000}"/>
    <cellStyle name="Comma 55 2 3" xfId="944" xr:uid="{00000000-0005-0000-0000-0000B8030000}"/>
    <cellStyle name="Comma 55 3" xfId="945" xr:uid="{00000000-0005-0000-0000-0000B9030000}"/>
    <cellStyle name="Comma 55 3 2" xfId="946" xr:uid="{00000000-0005-0000-0000-0000BA030000}"/>
    <cellStyle name="Comma 55 4" xfId="947" xr:uid="{00000000-0005-0000-0000-0000BB030000}"/>
    <cellStyle name="Comma 56" xfId="948" xr:uid="{00000000-0005-0000-0000-0000BC030000}"/>
    <cellStyle name="Comma 56 2" xfId="949" xr:uid="{00000000-0005-0000-0000-0000BD030000}"/>
    <cellStyle name="Comma 56 2 2" xfId="950" xr:uid="{00000000-0005-0000-0000-0000BE030000}"/>
    <cellStyle name="Comma 56 2 2 2" xfId="951" xr:uid="{00000000-0005-0000-0000-0000BF030000}"/>
    <cellStyle name="Comma 56 2 3" xfId="952" xr:uid="{00000000-0005-0000-0000-0000C0030000}"/>
    <cellStyle name="Comma 56 3" xfId="953" xr:uid="{00000000-0005-0000-0000-0000C1030000}"/>
    <cellStyle name="Comma 56 3 2" xfId="954" xr:uid="{00000000-0005-0000-0000-0000C2030000}"/>
    <cellStyle name="Comma 56 4" xfId="955" xr:uid="{00000000-0005-0000-0000-0000C3030000}"/>
    <cellStyle name="Comma 57" xfId="956" xr:uid="{00000000-0005-0000-0000-0000C4030000}"/>
    <cellStyle name="Comma 57 2" xfId="957" xr:uid="{00000000-0005-0000-0000-0000C5030000}"/>
    <cellStyle name="Comma 57 2 2" xfId="958" xr:uid="{00000000-0005-0000-0000-0000C6030000}"/>
    <cellStyle name="Comma 57 2 2 2" xfId="959" xr:uid="{00000000-0005-0000-0000-0000C7030000}"/>
    <cellStyle name="Comma 57 2 3" xfId="960" xr:uid="{00000000-0005-0000-0000-0000C8030000}"/>
    <cellStyle name="Comma 57 3" xfId="961" xr:uid="{00000000-0005-0000-0000-0000C9030000}"/>
    <cellStyle name="Comma 57 3 2" xfId="962" xr:uid="{00000000-0005-0000-0000-0000CA030000}"/>
    <cellStyle name="Comma 57 4" xfId="963" xr:uid="{00000000-0005-0000-0000-0000CB030000}"/>
    <cellStyle name="Comma 6" xfId="964" xr:uid="{00000000-0005-0000-0000-0000CC030000}"/>
    <cellStyle name="Comma 6 2" xfId="965" xr:uid="{00000000-0005-0000-0000-0000CD030000}"/>
    <cellStyle name="Comma 6 2 2" xfId="966" xr:uid="{00000000-0005-0000-0000-0000CE030000}"/>
    <cellStyle name="Comma 6 2 2 2" xfId="967" xr:uid="{00000000-0005-0000-0000-0000CF030000}"/>
    <cellStyle name="Comma 6 2 2 2 2" xfId="968" xr:uid="{00000000-0005-0000-0000-0000D0030000}"/>
    <cellStyle name="Comma 6 2 2 2 2 2" xfId="969" xr:uid="{00000000-0005-0000-0000-0000D1030000}"/>
    <cellStyle name="Comma 6 2 2 2 3" xfId="970" xr:uid="{00000000-0005-0000-0000-0000D2030000}"/>
    <cellStyle name="Comma 6 2 2 3" xfId="971" xr:uid="{00000000-0005-0000-0000-0000D3030000}"/>
    <cellStyle name="Comma 6 2 2 3 2" xfId="972" xr:uid="{00000000-0005-0000-0000-0000D4030000}"/>
    <cellStyle name="Comma 6 2 2 4" xfId="973" xr:uid="{00000000-0005-0000-0000-0000D5030000}"/>
    <cellStyle name="Comma 6 2 3" xfId="974" xr:uid="{00000000-0005-0000-0000-0000D6030000}"/>
    <cellStyle name="Comma 6 2 3 2" xfId="975" xr:uid="{00000000-0005-0000-0000-0000D7030000}"/>
    <cellStyle name="Comma 6 2 3 2 2" xfId="976" xr:uid="{00000000-0005-0000-0000-0000D8030000}"/>
    <cellStyle name="Comma 6 2 3 2 2 2" xfId="977" xr:uid="{00000000-0005-0000-0000-0000D9030000}"/>
    <cellStyle name="Comma 6 2 3 2 3" xfId="978" xr:uid="{00000000-0005-0000-0000-0000DA030000}"/>
    <cellStyle name="Comma 6 2 3 3" xfId="979" xr:uid="{00000000-0005-0000-0000-0000DB030000}"/>
    <cellStyle name="Comma 6 2 3 3 2" xfId="980" xr:uid="{00000000-0005-0000-0000-0000DC030000}"/>
    <cellStyle name="Comma 6 2 3 4" xfId="981" xr:uid="{00000000-0005-0000-0000-0000DD030000}"/>
    <cellStyle name="Comma 6 2 4" xfId="982" xr:uid="{00000000-0005-0000-0000-0000DE030000}"/>
    <cellStyle name="Comma 6 2 4 2" xfId="983" xr:uid="{00000000-0005-0000-0000-0000DF030000}"/>
    <cellStyle name="Comma 6 2 4 2 2" xfId="984" xr:uid="{00000000-0005-0000-0000-0000E0030000}"/>
    <cellStyle name="Comma 6 2 4 3" xfId="985" xr:uid="{00000000-0005-0000-0000-0000E1030000}"/>
    <cellStyle name="Comma 6 2 5" xfId="986" xr:uid="{00000000-0005-0000-0000-0000E2030000}"/>
    <cellStyle name="Comma 6 2 5 2" xfId="987" xr:uid="{00000000-0005-0000-0000-0000E3030000}"/>
    <cellStyle name="Comma 6 2 6" xfId="988" xr:uid="{00000000-0005-0000-0000-0000E4030000}"/>
    <cellStyle name="Comma 6 3" xfId="989" xr:uid="{00000000-0005-0000-0000-0000E5030000}"/>
    <cellStyle name="Comma 6 3 2" xfId="990" xr:uid="{00000000-0005-0000-0000-0000E6030000}"/>
    <cellStyle name="Comma 6 3 2 2" xfId="991" xr:uid="{00000000-0005-0000-0000-0000E7030000}"/>
    <cellStyle name="Comma 6 3 2 2 2" xfId="992" xr:uid="{00000000-0005-0000-0000-0000E8030000}"/>
    <cellStyle name="Comma 6 3 2 3" xfId="993" xr:uid="{00000000-0005-0000-0000-0000E9030000}"/>
    <cellStyle name="Comma 6 3 3" xfId="994" xr:uid="{00000000-0005-0000-0000-0000EA030000}"/>
    <cellStyle name="Comma 6 3 3 2" xfId="995" xr:uid="{00000000-0005-0000-0000-0000EB030000}"/>
    <cellStyle name="Comma 6 3 4" xfId="996" xr:uid="{00000000-0005-0000-0000-0000EC030000}"/>
    <cellStyle name="Comma 6 4" xfId="997" xr:uid="{00000000-0005-0000-0000-0000ED030000}"/>
    <cellStyle name="Comma 6 4 2" xfId="998" xr:uid="{00000000-0005-0000-0000-0000EE030000}"/>
    <cellStyle name="Comma 6 4 2 2" xfId="999" xr:uid="{00000000-0005-0000-0000-0000EF030000}"/>
    <cellStyle name="Comma 6 4 2 2 2" xfId="1000" xr:uid="{00000000-0005-0000-0000-0000F0030000}"/>
    <cellStyle name="Comma 6 4 2 3" xfId="1001" xr:uid="{00000000-0005-0000-0000-0000F1030000}"/>
    <cellStyle name="Comma 6 4 3" xfId="1002" xr:uid="{00000000-0005-0000-0000-0000F2030000}"/>
    <cellStyle name="Comma 6 4 3 2" xfId="1003" xr:uid="{00000000-0005-0000-0000-0000F3030000}"/>
    <cellStyle name="Comma 6 4 4" xfId="1004" xr:uid="{00000000-0005-0000-0000-0000F4030000}"/>
    <cellStyle name="Comma 6 5" xfId="1005" xr:uid="{00000000-0005-0000-0000-0000F5030000}"/>
    <cellStyle name="Comma 6 5 2" xfId="1006" xr:uid="{00000000-0005-0000-0000-0000F6030000}"/>
    <cellStyle name="Comma 6 5 2 2" xfId="1007" xr:uid="{00000000-0005-0000-0000-0000F7030000}"/>
    <cellStyle name="Comma 6 5 3" xfId="1008" xr:uid="{00000000-0005-0000-0000-0000F8030000}"/>
    <cellStyle name="Comma 6 6" xfId="1009" xr:uid="{00000000-0005-0000-0000-0000F9030000}"/>
    <cellStyle name="Comma 6 6 2" xfId="1010" xr:uid="{00000000-0005-0000-0000-0000FA030000}"/>
    <cellStyle name="Comma 6 7" xfId="1011" xr:uid="{00000000-0005-0000-0000-0000FB030000}"/>
    <cellStyle name="Comma 7" xfId="1012" xr:uid="{00000000-0005-0000-0000-0000FC030000}"/>
    <cellStyle name="Comma 7 2" xfId="1013" xr:uid="{00000000-0005-0000-0000-0000FD030000}"/>
    <cellStyle name="Comma 7 2 2" xfId="1014" xr:uid="{00000000-0005-0000-0000-0000FE030000}"/>
    <cellStyle name="Comma 7 2 2 2" xfId="1015" xr:uid="{00000000-0005-0000-0000-0000FF030000}"/>
    <cellStyle name="Comma 7 2 2 2 2" xfId="1016" xr:uid="{00000000-0005-0000-0000-000000040000}"/>
    <cellStyle name="Comma 7 2 2 3" xfId="1017" xr:uid="{00000000-0005-0000-0000-000001040000}"/>
    <cellStyle name="Comma 7 2 3" xfId="1018" xr:uid="{00000000-0005-0000-0000-000002040000}"/>
    <cellStyle name="Comma 7 2 3 2" xfId="1019" xr:uid="{00000000-0005-0000-0000-000003040000}"/>
    <cellStyle name="Comma 7 2 4" xfId="1020" xr:uid="{00000000-0005-0000-0000-000004040000}"/>
    <cellStyle name="Comma 7 3" xfId="1021" xr:uid="{00000000-0005-0000-0000-000005040000}"/>
    <cellStyle name="Comma 7 3 2" xfId="1022" xr:uid="{00000000-0005-0000-0000-000006040000}"/>
    <cellStyle name="Comma 7 3 2 2" xfId="1023" xr:uid="{00000000-0005-0000-0000-000007040000}"/>
    <cellStyle name="Comma 7 3 2 2 2" xfId="1024" xr:uid="{00000000-0005-0000-0000-000008040000}"/>
    <cellStyle name="Comma 7 3 2 3" xfId="1025" xr:uid="{00000000-0005-0000-0000-000009040000}"/>
    <cellStyle name="Comma 7 3 3" xfId="1026" xr:uid="{00000000-0005-0000-0000-00000A040000}"/>
    <cellStyle name="Comma 7 3 3 2" xfId="1027" xr:uid="{00000000-0005-0000-0000-00000B040000}"/>
    <cellStyle name="Comma 7 3 4" xfId="1028" xr:uid="{00000000-0005-0000-0000-00000C040000}"/>
    <cellStyle name="Comma 7 4" xfId="1029" xr:uid="{00000000-0005-0000-0000-00000D040000}"/>
    <cellStyle name="Comma 7 4 2" xfId="1030" xr:uid="{00000000-0005-0000-0000-00000E040000}"/>
    <cellStyle name="Comma 7 4 2 2" xfId="1031" xr:uid="{00000000-0005-0000-0000-00000F040000}"/>
    <cellStyle name="Comma 7 4 3" xfId="1032" xr:uid="{00000000-0005-0000-0000-000010040000}"/>
    <cellStyle name="Comma 7 5" xfId="1033" xr:uid="{00000000-0005-0000-0000-000011040000}"/>
    <cellStyle name="Comma 7 5 2" xfId="1034" xr:uid="{00000000-0005-0000-0000-000012040000}"/>
    <cellStyle name="Comma 7 6" xfId="1035" xr:uid="{00000000-0005-0000-0000-000013040000}"/>
    <cellStyle name="Comma 8" xfId="1036" xr:uid="{00000000-0005-0000-0000-000014040000}"/>
    <cellStyle name="Comma 8 2" xfId="1037" xr:uid="{00000000-0005-0000-0000-000015040000}"/>
    <cellStyle name="Comma 8 3" xfId="1038" xr:uid="{00000000-0005-0000-0000-000016040000}"/>
    <cellStyle name="Comma 8 3 2" xfId="1039" xr:uid="{00000000-0005-0000-0000-000017040000}"/>
    <cellStyle name="Comma 8 3 2 2" xfId="1040" xr:uid="{00000000-0005-0000-0000-000018040000}"/>
    <cellStyle name="Comma 8 3 2 2 2" xfId="1041" xr:uid="{00000000-0005-0000-0000-000019040000}"/>
    <cellStyle name="Comma 8 3 2 3" xfId="1042" xr:uid="{00000000-0005-0000-0000-00001A040000}"/>
    <cellStyle name="Comma 8 3 3" xfId="1043" xr:uid="{00000000-0005-0000-0000-00001B040000}"/>
    <cellStyle name="Comma 8 3 3 2" xfId="1044" xr:uid="{00000000-0005-0000-0000-00001C040000}"/>
    <cellStyle name="Comma 8 3 4" xfId="1045" xr:uid="{00000000-0005-0000-0000-00001D040000}"/>
    <cellStyle name="Comma 8 4" xfId="1046" xr:uid="{00000000-0005-0000-0000-00001E040000}"/>
    <cellStyle name="Comma 8 4 2" xfId="1047" xr:uid="{00000000-0005-0000-0000-00001F040000}"/>
    <cellStyle name="Comma 8 4 2 2" xfId="1048" xr:uid="{00000000-0005-0000-0000-000020040000}"/>
    <cellStyle name="Comma 8 4 3" xfId="1049" xr:uid="{00000000-0005-0000-0000-000021040000}"/>
    <cellStyle name="Comma 8 5" xfId="1050" xr:uid="{00000000-0005-0000-0000-000022040000}"/>
    <cellStyle name="Comma 8 5 2" xfId="1051" xr:uid="{00000000-0005-0000-0000-000023040000}"/>
    <cellStyle name="Comma 8 6" xfId="1052" xr:uid="{00000000-0005-0000-0000-000024040000}"/>
    <cellStyle name="Comma 9" xfId="1053" xr:uid="{00000000-0005-0000-0000-000025040000}"/>
    <cellStyle name="Comma 9 2" xfId="1054" xr:uid="{00000000-0005-0000-0000-000026040000}"/>
    <cellStyle name="Comma 9 2 2" xfId="1055" xr:uid="{00000000-0005-0000-0000-000027040000}"/>
    <cellStyle name="Comma 9 2 2 2" xfId="1056" xr:uid="{00000000-0005-0000-0000-000028040000}"/>
    <cellStyle name="Comma 9 2 2 2 2" xfId="1057" xr:uid="{00000000-0005-0000-0000-000029040000}"/>
    <cellStyle name="Comma 9 2 2 2 2 2" xfId="1058" xr:uid="{00000000-0005-0000-0000-00002A040000}"/>
    <cellStyle name="Comma 9 2 2 2 3" xfId="1059" xr:uid="{00000000-0005-0000-0000-00002B040000}"/>
    <cellStyle name="Comma 9 2 2 3" xfId="1060" xr:uid="{00000000-0005-0000-0000-00002C040000}"/>
    <cellStyle name="Comma 9 2 2 3 2" xfId="1061" xr:uid="{00000000-0005-0000-0000-00002D040000}"/>
    <cellStyle name="Comma 9 2 2 4" xfId="1062" xr:uid="{00000000-0005-0000-0000-00002E040000}"/>
    <cellStyle name="Comma 9 2 3" xfId="1063" xr:uid="{00000000-0005-0000-0000-00002F040000}"/>
    <cellStyle name="Comma 9 2 3 2" xfId="1064" xr:uid="{00000000-0005-0000-0000-000030040000}"/>
    <cellStyle name="Comma 9 2 3 2 2" xfId="1065" xr:uid="{00000000-0005-0000-0000-000031040000}"/>
    <cellStyle name="Comma 9 2 3 2 2 2" xfId="1066" xr:uid="{00000000-0005-0000-0000-000032040000}"/>
    <cellStyle name="Comma 9 2 3 2 3" xfId="1067" xr:uid="{00000000-0005-0000-0000-000033040000}"/>
    <cellStyle name="Comma 9 2 3 3" xfId="1068" xr:uid="{00000000-0005-0000-0000-000034040000}"/>
    <cellStyle name="Comma 9 2 3 3 2" xfId="1069" xr:uid="{00000000-0005-0000-0000-000035040000}"/>
    <cellStyle name="Comma 9 2 3 4" xfId="1070" xr:uid="{00000000-0005-0000-0000-000036040000}"/>
    <cellStyle name="Comma 9 2 4" xfId="1071" xr:uid="{00000000-0005-0000-0000-000037040000}"/>
    <cellStyle name="Comma 9 2 4 2" xfId="1072" xr:uid="{00000000-0005-0000-0000-000038040000}"/>
    <cellStyle name="Comma 9 2 4 2 2" xfId="1073" xr:uid="{00000000-0005-0000-0000-000039040000}"/>
    <cellStyle name="Comma 9 2 4 3" xfId="1074" xr:uid="{00000000-0005-0000-0000-00003A040000}"/>
    <cellStyle name="Comma 9 2 5" xfId="1075" xr:uid="{00000000-0005-0000-0000-00003B040000}"/>
    <cellStyle name="Comma 9 2 5 2" xfId="1076" xr:uid="{00000000-0005-0000-0000-00003C040000}"/>
    <cellStyle name="Comma 9 2 6" xfId="1077" xr:uid="{00000000-0005-0000-0000-00003D040000}"/>
    <cellStyle name="Comma 9 3" xfId="1078" xr:uid="{00000000-0005-0000-0000-00003E040000}"/>
    <cellStyle name="Comma 9 3 2" xfId="1079" xr:uid="{00000000-0005-0000-0000-00003F040000}"/>
    <cellStyle name="Comma 9 3 2 2" xfId="1080" xr:uid="{00000000-0005-0000-0000-000040040000}"/>
    <cellStyle name="Comma 9 3 2 2 2" xfId="1081" xr:uid="{00000000-0005-0000-0000-000041040000}"/>
    <cellStyle name="Comma 9 3 2 3" xfId="1082" xr:uid="{00000000-0005-0000-0000-000042040000}"/>
    <cellStyle name="Comma 9 3 3" xfId="1083" xr:uid="{00000000-0005-0000-0000-000043040000}"/>
    <cellStyle name="Comma 9 3 3 2" xfId="1084" xr:uid="{00000000-0005-0000-0000-000044040000}"/>
    <cellStyle name="Comma 9 3 4" xfId="1085" xr:uid="{00000000-0005-0000-0000-000045040000}"/>
    <cellStyle name="Comma 9 4" xfId="1086" xr:uid="{00000000-0005-0000-0000-000046040000}"/>
    <cellStyle name="Comma 9 4 2" xfId="1087" xr:uid="{00000000-0005-0000-0000-000047040000}"/>
    <cellStyle name="Comma 9 4 2 2" xfId="1088" xr:uid="{00000000-0005-0000-0000-000048040000}"/>
    <cellStyle name="Comma 9 4 2 2 2" xfId="1089" xr:uid="{00000000-0005-0000-0000-000049040000}"/>
    <cellStyle name="Comma 9 4 2 3" xfId="1090" xr:uid="{00000000-0005-0000-0000-00004A040000}"/>
    <cellStyle name="Comma 9 4 3" xfId="1091" xr:uid="{00000000-0005-0000-0000-00004B040000}"/>
    <cellStyle name="Comma 9 4 3 2" xfId="1092" xr:uid="{00000000-0005-0000-0000-00004C040000}"/>
    <cellStyle name="Comma 9 4 4" xfId="1093" xr:uid="{00000000-0005-0000-0000-00004D040000}"/>
    <cellStyle name="Comma 9 5" xfId="1094" xr:uid="{00000000-0005-0000-0000-00004E040000}"/>
    <cellStyle name="Comma 9 5 2" xfId="1095" xr:uid="{00000000-0005-0000-0000-00004F040000}"/>
    <cellStyle name="Comma 9 5 2 2" xfId="1096" xr:uid="{00000000-0005-0000-0000-000050040000}"/>
    <cellStyle name="Comma 9 5 3" xfId="1097" xr:uid="{00000000-0005-0000-0000-000051040000}"/>
    <cellStyle name="Comma 9 6" xfId="1098" xr:uid="{00000000-0005-0000-0000-000052040000}"/>
    <cellStyle name="Comma 9 6 2" xfId="1099" xr:uid="{00000000-0005-0000-0000-000053040000}"/>
    <cellStyle name="Comma 9 7" xfId="1100" xr:uid="{00000000-0005-0000-0000-000054040000}"/>
    <cellStyle name="Comma(0)" xfId="1101" xr:uid="{00000000-0005-0000-0000-000055040000}"/>
    <cellStyle name="comma(1)" xfId="1102" xr:uid="{00000000-0005-0000-0000-000056040000}"/>
    <cellStyle name="Comma(3)" xfId="1103" xr:uid="{00000000-0005-0000-0000-000057040000}"/>
    <cellStyle name="Comma[0]" xfId="1104" xr:uid="{00000000-0005-0000-0000-000058040000}"/>
    <cellStyle name="Comma[1]" xfId="1105" xr:uid="{00000000-0005-0000-0000-000059040000}"/>
    <cellStyle name="Comma[2]__" xfId="1106" xr:uid="{00000000-0005-0000-0000-00005A040000}"/>
    <cellStyle name="Comma[3]" xfId="1107" xr:uid="{00000000-0005-0000-0000-00005B040000}"/>
    <cellStyle name="Comma0" xfId="1108" xr:uid="{00000000-0005-0000-0000-00005C040000}"/>
    <cellStyle name="Commentaire" xfId="1109" xr:uid="{00000000-0005-0000-0000-00005D040000}"/>
    <cellStyle name="Commentaire 2" xfId="2244" xr:uid="{00000000-0005-0000-0000-00005E040000}"/>
    <cellStyle name="Currency0" xfId="1110" xr:uid="{00000000-0005-0000-0000-00005F040000}"/>
    <cellStyle name="dark_blue" xfId="1111" xr:uid="{00000000-0005-0000-0000-000060040000}"/>
    <cellStyle name="DataEntryCells" xfId="1112" xr:uid="{00000000-0005-0000-0000-000061040000}"/>
    <cellStyle name="Date" xfId="1113" xr:uid="{00000000-0005-0000-0000-000062040000}"/>
    <cellStyle name="DATUM" xfId="1114" xr:uid="{00000000-0005-0000-0000-000063040000}"/>
    <cellStyle name="Dezimal [0]_Check" xfId="1115" xr:uid="{00000000-0005-0000-0000-000064040000}"/>
    <cellStyle name="Dezimal_03-09-03" xfId="1116" xr:uid="{00000000-0005-0000-0000-000065040000}"/>
    <cellStyle name="Didier" xfId="1117" xr:uid="{00000000-0005-0000-0000-000066040000}"/>
    <cellStyle name="Didier - Title" xfId="1118" xr:uid="{00000000-0005-0000-0000-000067040000}"/>
    <cellStyle name="Didier subtitles" xfId="1119" xr:uid="{00000000-0005-0000-0000-000068040000}"/>
    <cellStyle name="données" xfId="1120" xr:uid="{00000000-0005-0000-0000-000069040000}"/>
    <cellStyle name="donnéesbord" xfId="1121" xr:uid="{00000000-0005-0000-0000-00006A040000}"/>
    <cellStyle name="Entrée" xfId="1122" xr:uid="{00000000-0005-0000-0000-00006B040000}"/>
    <cellStyle name="Entrée 2" xfId="2245" xr:uid="{00000000-0005-0000-0000-00006C040000}"/>
    <cellStyle name="ErrRpt_DataEntryCells" xfId="1123" xr:uid="{00000000-0005-0000-0000-00006D040000}"/>
    <cellStyle name="ErrRpt-DataEntryCells" xfId="1124" xr:uid="{00000000-0005-0000-0000-00006E040000}"/>
    <cellStyle name="ErrRpt-DataEntryCells 2" xfId="2246" xr:uid="{00000000-0005-0000-0000-00006F040000}"/>
    <cellStyle name="ErrRpt-GreyBackground" xfId="1125" xr:uid="{00000000-0005-0000-0000-000070040000}"/>
    <cellStyle name="Euro" xfId="1126" xr:uid="{00000000-0005-0000-0000-000071040000}"/>
    <cellStyle name="FEST" xfId="1127" xr:uid="{00000000-0005-0000-0000-000072040000}"/>
    <cellStyle name="financniO" xfId="1128" xr:uid="{00000000-0005-0000-0000-000073040000}"/>
    <cellStyle name="Fixed" xfId="1129" xr:uid="{00000000-0005-0000-0000-000074040000}"/>
    <cellStyle name="ƒnƒCƒp[ƒŠƒ“ƒN" xfId="1130" xr:uid="{00000000-0005-0000-0000-000075040000}"/>
    <cellStyle name="Footnote" xfId="1131" xr:uid="{00000000-0005-0000-0000-000076040000}"/>
    <cellStyle name="Footnote 2" xfId="1132" xr:uid="{00000000-0005-0000-0000-000077040000}"/>
    <cellStyle name="formula" xfId="1133" xr:uid="{00000000-0005-0000-0000-000078040000}"/>
    <cellStyle name="formula 2" xfId="2247" xr:uid="{00000000-0005-0000-0000-000079040000}"/>
    <cellStyle name="gap" xfId="1134" xr:uid="{00000000-0005-0000-0000-00007A040000}"/>
    <cellStyle name="gap 2" xfId="1135" xr:uid="{00000000-0005-0000-0000-00007B040000}"/>
    <cellStyle name="gap 2 2" xfId="1136" xr:uid="{00000000-0005-0000-0000-00007C040000}"/>
    <cellStyle name="gap 2 2 2" xfId="1137" xr:uid="{00000000-0005-0000-0000-00007D040000}"/>
    <cellStyle name="gap 2 2 2 2" xfId="1138" xr:uid="{00000000-0005-0000-0000-00007E040000}"/>
    <cellStyle name="gap 2 3" xfId="1139" xr:uid="{00000000-0005-0000-0000-00007F040000}"/>
    <cellStyle name="Grey" xfId="1140" xr:uid="{00000000-0005-0000-0000-000080040000}"/>
    <cellStyle name="GreyBackground" xfId="1141" xr:uid="{00000000-0005-0000-0000-000081040000}"/>
    <cellStyle name="GreyBackground 2" xfId="1142" xr:uid="{00000000-0005-0000-0000-000082040000}"/>
    <cellStyle name="Header1" xfId="1143" xr:uid="{00000000-0005-0000-0000-000083040000}"/>
    <cellStyle name="Header2" xfId="1144" xr:uid="{00000000-0005-0000-0000-000084040000}"/>
    <cellStyle name="Header2 2" xfId="2248" xr:uid="{00000000-0005-0000-0000-000085040000}"/>
    <cellStyle name="Heading 1 10" xfId="1145" xr:uid="{00000000-0005-0000-0000-000086040000}"/>
    <cellStyle name="Heading 1 10 2" xfId="1146" xr:uid="{00000000-0005-0000-0000-000087040000}"/>
    <cellStyle name="Heading 1 11" xfId="1147" xr:uid="{00000000-0005-0000-0000-000088040000}"/>
    <cellStyle name="Heading 1 11 2" xfId="1148" xr:uid="{00000000-0005-0000-0000-000089040000}"/>
    <cellStyle name="Heading 1 12" xfId="1149" xr:uid="{00000000-0005-0000-0000-00008A040000}"/>
    <cellStyle name="Heading 1 12 2" xfId="1150" xr:uid="{00000000-0005-0000-0000-00008B040000}"/>
    <cellStyle name="Heading 1 13" xfId="1151" xr:uid="{00000000-0005-0000-0000-00008C040000}"/>
    <cellStyle name="Heading 1 13 2" xfId="1152" xr:uid="{00000000-0005-0000-0000-00008D040000}"/>
    <cellStyle name="Heading 1 2" xfId="1153" xr:uid="{00000000-0005-0000-0000-00008E040000}"/>
    <cellStyle name="Heading 1 2 2" xfId="1154" xr:uid="{00000000-0005-0000-0000-00008F040000}"/>
    <cellStyle name="Heading 1 3" xfId="1155" xr:uid="{00000000-0005-0000-0000-000090040000}"/>
    <cellStyle name="Heading 1 3 2" xfId="1156" xr:uid="{00000000-0005-0000-0000-000091040000}"/>
    <cellStyle name="Heading 1 4" xfId="1157" xr:uid="{00000000-0005-0000-0000-000092040000}"/>
    <cellStyle name="Heading 1 4 2" xfId="1158" xr:uid="{00000000-0005-0000-0000-000093040000}"/>
    <cellStyle name="Heading 1 5" xfId="1159" xr:uid="{00000000-0005-0000-0000-000094040000}"/>
    <cellStyle name="Heading 1 5 2" xfId="1160" xr:uid="{00000000-0005-0000-0000-000095040000}"/>
    <cellStyle name="Heading 1 6" xfId="1161" xr:uid="{00000000-0005-0000-0000-000096040000}"/>
    <cellStyle name="Heading 1 6 2" xfId="1162" xr:uid="{00000000-0005-0000-0000-000097040000}"/>
    <cellStyle name="Heading 1 7" xfId="1163" xr:uid="{00000000-0005-0000-0000-000098040000}"/>
    <cellStyle name="Heading 1 7 2" xfId="1164" xr:uid="{00000000-0005-0000-0000-000099040000}"/>
    <cellStyle name="Heading 1 8" xfId="1165" xr:uid="{00000000-0005-0000-0000-00009A040000}"/>
    <cellStyle name="Heading 1 8 2" xfId="1166" xr:uid="{00000000-0005-0000-0000-00009B040000}"/>
    <cellStyle name="Heading 1 9" xfId="1167" xr:uid="{00000000-0005-0000-0000-00009C040000}"/>
    <cellStyle name="Heading 1 9 2" xfId="1168" xr:uid="{00000000-0005-0000-0000-00009D040000}"/>
    <cellStyle name="Heading 2 10" xfId="1169" xr:uid="{00000000-0005-0000-0000-00009E040000}"/>
    <cellStyle name="Heading 2 10 2" xfId="1170" xr:uid="{00000000-0005-0000-0000-00009F040000}"/>
    <cellStyle name="Heading 2 11" xfId="1171" xr:uid="{00000000-0005-0000-0000-0000A0040000}"/>
    <cellStyle name="Heading 2 11 2" xfId="1172" xr:uid="{00000000-0005-0000-0000-0000A1040000}"/>
    <cellStyle name="Heading 2 12" xfId="1173" xr:uid="{00000000-0005-0000-0000-0000A2040000}"/>
    <cellStyle name="Heading 2 12 2" xfId="1174" xr:uid="{00000000-0005-0000-0000-0000A3040000}"/>
    <cellStyle name="Heading 2 13" xfId="1175" xr:uid="{00000000-0005-0000-0000-0000A4040000}"/>
    <cellStyle name="Heading 2 13 2" xfId="1176" xr:uid="{00000000-0005-0000-0000-0000A5040000}"/>
    <cellStyle name="Heading 2 2" xfId="1177" xr:uid="{00000000-0005-0000-0000-0000A6040000}"/>
    <cellStyle name="Heading 2 2 2" xfId="1178" xr:uid="{00000000-0005-0000-0000-0000A7040000}"/>
    <cellStyle name="Heading 2 3" xfId="1179" xr:uid="{00000000-0005-0000-0000-0000A8040000}"/>
    <cellStyle name="Heading 2 3 2" xfId="1180" xr:uid="{00000000-0005-0000-0000-0000A9040000}"/>
    <cellStyle name="Heading 2 4" xfId="1181" xr:uid="{00000000-0005-0000-0000-0000AA040000}"/>
    <cellStyle name="Heading 2 4 2" xfId="1182" xr:uid="{00000000-0005-0000-0000-0000AB040000}"/>
    <cellStyle name="Heading 2 5" xfId="1183" xr:uid="{00000000-0005-0000-0000-0000AC040000}"/>
    <cellStyle name="Heading 2 5 2" xfId="1184" xr:uid="{00000000-0005-0000-0000-0000AD040000}"/>
    <cellStyle name="Heading 2 6" xfId="1185" xr:uid="{00000000-0005-0000-0000-0000AE040000}"/>
    <cellStyle name="Heading 2 6 2" xfId="1186" xr:uid="{00000000-0005-0000-0000-0000AF040000}"/>
    <cellStyle name="Heading 2 7" xfId="1187" xr:uid="{00000000-0005-0000-0000-0000B0040000}"/>
    <cellStyle name="Heading 2 7 2" xfId="1188" xr:uid="{00000000-0005-0000-0000-0000B1040000}"/>
    <cellStyle name="Heading 2 8" xfId="1189" xr:uid="{00000000-0005-0000-0000-0000B2040000}"/>
    <cellStyle name="Heading 2 8 2" xfId="1190" xr:uid="{00000000-0005-0000-0000-0000B3040000}"/>
    <cellStyle name="Heading 2 9" xfId="1191" xr:uid="{00000000-0005-0000-0000-0000B4040000}"/>
    <cellStyle name="Heading 2 9 2" xfId="1192" xr:uid="{00000000-0005-0000-0000-0000B5040000}"/>
    <cellStyle name="Heading1" xfId="1193" xr:uid="{00000000-0005-0000-0000-0000B6040000}"/>
    <cellStyle name="Heading2" xfId="1194" xr:uid="{00000000-0005-0000-0000-0000B7040000}"/>
    <cellStyle name="Hipervínculo" xfId="1195" xr:uid="{00000000-0005-0000-0000-0000B8040000}"/>
    <cellStyle name="Hipervínculo visitado" xfId="1196" xr:uid="{00000000-0005-0000-0000-0000B9040000}"/>
    <cellStyle name="Huomautus 2" xfId="1197" xr:uid="{00000000-0005-0000-0000-0000BA040000}"/>
    <cellStyle name="Huomautus 3" xfId="1198" xr:uid="{00000000-0005-0000-0000-0000BB040000}"/>
    <cellStyle name="Hyperlink" xfId="2358" builtinId="8"/>
    <cellStyle name="Hyperlink 2" xfId="1200" xr:uid="{00000000-0005-0000-0000-0000BD040000}"/>
    <cellStyle name="Hyperlink 2 2" xfId="1201" xr:uid="{00000000-0005-0000-0000-0000BE040000}"/>
    <cellStyle name="Hyperlink 3" xfId="1202" xr:uid="{00000000-0005-0000-0000-0000BF040000}"/>
    <cellStyle name="Hyperlink 4" xfId="1199" xr:uid="{00000000-0005-0000-0000-0000C0040000}"/>
    <cellStyle name="Input [yellow]" xfId="1203" xr:uid="{00000000-0005-0000-0000-0000C1040000}"/>
    <cellStyle name="Input [yellow] 2" xfId="2249" xr:uid="{00000000-0005-0000-0000-0000C2040000}"/>
    <cellStyle name="Insatisfaisant" xfId="1204" xr:uid="{00000000-0005-0000-0000-0000C3040000}"/>
    <cellStyle name="ISC" xfId="1205" xr:uid="{00000000-0005-0000-0000-0000C4040000}"/>
    <cellStyle name="ISC 2" xfId="1206" xr:uid="{00000000-0005-0000-0000-0000C5040000}"/>
    <cellStyle name="ISC 3" xfId="1207" xr:uid="{00000000-0005-0000-0000-0000C6040000}"/>
    <cellStyle name="ISC 4" xfId="1208" xr:uid="{00000000-0005-0000-0000-0000C7040000}"/>
    <cellStyle name="ISC 5" xfId="1209" xr:uid="{00000000-0005-0000-0000-0000C8040000}"/>
    <cellStyle name="ISC 6" xfId="1210" xr:uid="{00000000-0005-0000-0000-0000C9040000}"/>
    <cellStyle name="ISC 7" xfId="1211" xr:uid="{00000000-0005-0000-0000-0000CA040000}"/>
    <cellStyle name="ISC 8" xfId="1212" xr:uid="{00000000-0005-0000-0000-0000CB040000}"/>
    <cellStyle name="ISC 9" xfId="1213" xr:uid="{00000000-0005-0000-0000-0000CC040000}"/>
    <cellStyle name="isced" xfId="1214" xr:uid="{00000000-0005-0000-0000-0000CD040000}"/>
    <cellStyle name="isced 2" xfId="2250" xr:uid="{00000000-0005-0000-0000-0000CE040000}"/>
    <cellStyle name="ISCED Titles" xfId="1215" xr:uid="{00000000-0005-0000-0000-0000CF040000}"/>
    <cellStyle name="isced_8gradk" xfId="1216" xr:uid="{00000000-0005-0000-0000-0000D0040000}"/>
    <cellStyle name="KOPFZEILE1" xfId="1217" xr:uid="{00000000-0005-0000-0000-0000D1040000}"/>
    <cellStyle name="KOPFZEILE2" xfId="1218" xr:uid="{00000000-0005-0000-0000-0000D2040000}"/>
    <cellStyle name="level1a" xfId="1219" xr:uid="{00000000-0005-0000-0000-0000D3040000}"/>
    <cellStyle name="level1a 10" xfId="2251" xr:uid="{00000000-0005-0000-0000-0000D4040000}"/>
    <cellStyle name="level1a 2" xfId="1220" xr:uid="{00000000-0005-0000-0000-0000D5040000}"/>
    <cellStyle name="level1a 2 2" xfId="1221" xr:uid="{00000000-0005-0000-0000-0000D6040000}"/>
    <cellStyle name="level1a 2 2 2" xfId="1222" xr:uid="{00000000-0005-0000-0000-0000D7040000}"/>
    <cellStyle name="level1a 2 2 2 2" xfId="2254" xr:uid="{00000000-0005-0000-0000-0000D8040000}"/>
    <cellStyle name="level1a 2 2 3" xfId="2253" xr:uid="{00000000-0005-0000-0000-0000D9040000}"/>
    <cellStyle name="level1a 2 3" xfId="1223" xr:uid="{00000000-0005-0000-0000-0000DA040000}"/>
    <cellStyle name="level1a 2 3 2" xfId="2255" xr:uid="{00000000-0005-0000-0000-0000DB040000}"/>
    <cellStyle name="level1a 2 4" xfId="1224" xr:uid="{00000000-0005-0000-0000-0000DC040000}"/>
    <cellStyle name="level1a 2 4 2" xfId="2256" xr:uid="{00000000-0005-0000-0000-0000DD040000}"/>
    <cellStyle name="level1a 2 5" xfId="1225" xr:uid="{00000000-0005-0000-0000-0000DE040000}"/>
    <cellStyle name="level1a 2 5 2" xfId="2257" xr:uid="{00000000-0005-0000-0000-0000DF040000}"/>
    <cellStyle name="level1a 2 6" xfId="1226" xr:uid="{00000000-0005-0000-0000-0000E0040000}"/>
    <cellStyle name="level1a 2 6 2" xfId="2258" xr:uid="{00000000-0005-0000-0000-0000E1040000}"/>
    <cellStyle name="level1a 2 7" xfId="1227" xr:uid="{00000000-0005-0000-0000-0000E2040000}"/>
    <cellStyle name="level1a 2 7 2" xfId="2259" xr:uid="{00000000-0005-0000-0000-0000E3040000}"/>
    <cellStyle name="level1a 2 8" xfId="2252" xr:uid="{00000000-0005-0000-0000-0000E4040000}"/>
    <cellStyle name="level1a 3" xfId="1228" xr:uid="{00000000-0005-0000-0000-0000E5040000}"/>
    <cellStyle name="level1a 3 2" xfId="2260" xr:uid="{00000000-0005-0000-0000-0000E6040000}"/>
    <cellStyle name="level1a 4" xfId="1229" xr:uid="{00000000-0005-0000-0000-0000E7040000}"/>
    <cellStyle name="level1a 4 2" xfId="2261" xr:uid="{00000000-0005-0000-0000-0000E8040000}"/>
    <cellStyle name="level1a 5" xfId="1230" xr:uid="{00000000-0005-0000-0000-0000E9040000}"/>
    <cellStyle name="level1a 5 2" xfId="2262" xr:uid="{00000000-0005-0000-0000-0000EA040000}"/>
    <cellStyle name="level1a 6" xfId="1231" xr:uid="{00000000-0005-0000-0000-0000EB040000}"/>
    <cellStyle name="level1a 6 2" xfId="2263" xr:uid="{00000000-0005-0000-0000-0000EC040000}"/>
    <cellStyle name="level1a 7" xfId="1232" xr:uid="{00000000-0005-0000-0000-0000ED040000}"/>
    <cellStyle name="level1a 7 2" xfId="2264" xr:uid="{00000000-0005-0000-0000-0000EE040000}"/>
    <cellStyle name="level1a 8" xfId="1233" xr:uid="{00000000-0005-0000-0000-0000EF040000}"/>
    <cellStyle name="level1a 8 2" xfId="2265" xr:uid="{00000000-0005-0000-0000-0000F0040000}"/>
    <cellStyle name="level1a 9" xfId="1234" xr:uid="{00000000-0005-0000-0000-0000F1040000}"/>
    <cellStyle name="level1a 9 2" xfId="2266" xr:uid="{00000000-0005-0000-0000-0000F2040000}"/>
    <cellStyle name="level2" xfId="1235" xr:uid="{00000000-0005-0000-0000-0000F3040000}"/>
    <cellStyle name="level2 2" xfId="1236" xr:uid="{00000000-0005-0000-0000-0000F4040000}"/>
    <cellStyle name="level2 2 2" xfId="1237" xr:uid="{00000000-0005-0000-0000-0000F5040000}"/>
    <cellStyle name="level2 2 2 2" xfId="1238" xr:uid="{00000000-0005-0000-0000-0000F6040000}"/>
    <cellStyle name="level2 2 3" xfId="1239" xr:uid="{00000000-0005-0000-0000-0000F7040000}"/>
    <cellStyle name="level2 2 4" xfId="1240" xr:uid="{00000000-0005-0000-0000-0000F8040000}"/>
    <cellStyle name="level2 2 5" xfId="1241" xr:uid="{00000000-0005-0000-0000-0000F9040000}"/>
    <cellStyle name="level2 2 6" xfId="1242" xr:uid="{00000000-0005-0000-0000-0000FA040000}"/>
    <cellStyle name="level2 2 7" xfId="1243" xr:uid="{00000000-0005-0000-0000-0000FB040000}"/>
    <cellStyle name="level2 3" xfId="1244" xr:uid="{00000000-0005-0000-0000-0000FC040000}"/>
    <cellStyle name="level2 4" xfId="1245" xr:uid="{00000000-0005-0000-0000-0000FD040000}"/>
    <cellStyle name="level2 5" xfId="1246" xr:uid="{00000000-0005-0000-0000-0000FE040000}"/>
    <cellStyle name="level2 6" xfId="1247" xr:uid="{00000000-0005-0000-0000-0000FF040000}"/>
    <cellStyle name="level2 7" xfId="1248" xr:uid="{00000000-0005-0000-0000-000000050000}"/>
    <cellStyle name="level2 8" xfId="1249" xr:uid="{00000000-0005-0000-0000-000001050000}"/>
    <cellStyle name="level2 9" xfId="1250" xr:uid="{00000000-0005-0000-0000-000002050000}"/>
    <cellStyle name="level2a" xfId="1251" xr:uid="{00000000-0005-0000-0000-000003050000}"/>
    <cellStyle name="level2a 2" xfId="1252" xr:uid="{00000000-0005-0000-0000-000004050000}"/>
    <cellStyle name="level2a 2 2" xfId="1253" xr:uid="{00000000-0005-0000-0000-000005050000}"/>
    <cellStyle name="level2a 2 2 2" xfId="1254" xr:uid="{00000000-0005-0000-0000-000006050000}"/>
    <cellStyle name="level2a 2 3" xfId="1255" xr:uid="{00000000-0005-0000-0000-000007050000}"/>
    <cellStyle name="level2a 2 4" xfId="1256" xr:uid="{00000000-0005-0000-0000-000008050000}"/>
    <cellStyle name="level2a 2 5" xfId="1257" xr:uid="{00000000-0005-0000-0000-000009050000}"/>
    <cellStyle name="level2a 2 6" xfId="1258" xr:uid="{00000000-0005-0000-0000-00000A050000}"/>
    <cellStyle name="level2a 2 7" xfId="1259" xr:uid="{00000000-0005-0000-0000-00000B050000}"/>
    <cellStyle name="level2a 3" xfId="1260" xr:uid="{00000000-0005-0000-0000-00000C050000}"/>
    <cellStyle name="level2a 4" xfId="1261" xr:uid="{00000000-0005-0000-0000-00000D050000}"/>
    <cellStyle name="level2a 5" xfId="1262" xr:uid="{00000000-0005-0000-0000-00000E050000}"/>
    <cellStyle name="level2a 6" xfId="1263" xr:uid="{00000000-0005-0000-0000-00000F050000}"/>
    <cellStyle name="level2a 7" xfId="1264" xr:uid="{00000000-0005-0000-0000-000010050000}"/>
    <cellStyle name="level2a 8" xfId="1265" xr:uid="{00000000-0005-0000-0000-000011050000}"/>
    <cellStyle name="level2a 9" xfId="1266" xr:uid="{00000000-0005-0000-0000-000012050000}"/>
    <cellStyle name="level3" xfId="1267" xr:uid="{00000000-0005-0000-0000-000013050000}"/>
    <cellStyle name="level3 2" xfId="1268" xr:uid="{00000000-0005-0000-0000-000014050000}"/>
    <cellStyle name="level3 3" xfId="1269" xr:uid="{00000000-0005-0000-0000-000015050000}"/>
    <cellStyle name="level3 4" xfId="1270" xr:uid="{00000000-0005-0000-0000-000016050000}"/>
    <cellStyle name="level3 5" xfId="1271" xr:uid="{00000000-0005-0000-0000-000017050000}"/>
    <cellStyle name="level3 6" xfId="1272" xr:uid="{00000000-0005-0000-0000-000018050000}"/>
    <cellStyle name="level3 7" xfId="1273" xr:uid="{00000000-0005-0000-0000-000019050000}"/>
    <cellStyle name="level3 8" xfId="1274" xr:uid="{00000000-0005-0000-0000-00001A050000}"/>
    <cellStyle name="level3 9" xfId="1275" xr:uid="{00000000-0005-0000-0000-00001B050000}"/>
    <cellStyle name="light_blue" xfId="1276" xr:uid="{00000000-0005-0000-0000-00001C050000}"/>
    <cellStyle name="Line titles-Rows" xfId="1277" xr:uid="{00000000-0005-0000-0000-00001D050000}"/>
    <cellStyle name="Line titles-Rows 2" xfId="2267" xr:uid="{00000000-0005-0000-0000-00001E050000}"/>
    <cellStyle name="Map Data Values" xfId="1278" xr:uid="{00000000-0005-0000-0000-00001F050000}"/>
    <cellStyle name="Map Distance" xfId="1279" xr:uid="{00000000-0005-0000-0000-000020050000}"/>
    <cellStyle name="Map Legend" xfId="1280" xr:uid="{00000000-0005-0000-0000-000021050000}"/>
    <cellStyle name="Map Object Names" xfId="1281" xr:uid="{00000000-0005-0000-0000-000022050000}"/>
    <cellStyle name="Map Title" xfId="1282" xr:uid="{00000000-0005-0000-0000-000023050000}"/>
    <cellStyle name="Migliaia (0)_conti99" xfId="1283" xr:uid="{00000000-0005-0000-0000-000024050000}"/>
    <cellStyle name="Migliaia_FIN" xfId="1284" xr:uid="{00000000-0005-0000-0000-000025050000}"/>
    <cellStyle name="Milliers [0]_8GRAD" xfId="1285" xr:uid="{00000000-0005-0000-0000-000026050000}"/>
    <cellStyle name="Milliers_8GRAD" xfId="1286" xr:uid="{00000000-0005-0000-0000-000027050000}"/>
    <cellStyle name="Monétaire [0]_8GRAD" xfId="1287" xr:uid="{00000000-0005-0000-0000-000028050000}"/>
    <cellStyle name="Monétaire_8GRAD" xfId="1288" xr:uid="{00000000-0005-0000-0000-000029050000}"/>
    <cellStyle name="n0" xfId="1289" xr:uid="{00000000-0005-0000-0000-00002A050000}"/>
    <cellStyle name="Neutre" xfId="1290" xr:uid="{00000000-0005-0000-0000-00002B050000}"/>
    <cellStyle name="Normaali 2" xfId="1291" xr:uid="{00000000-0005-0000-0000-00002C050000}"/>
    <cellStyle name="Normaali 3" xfId="1292" xr:uid="{00000000-0005-0000-0000-00002D050000}"/>
    <cellStyle name="Normaali_Median" xfId="1293" xr:uid="{00000000-0005-0000-0000-00002E050000}"/>
    <cellStyle name="Normal" xfId="0" builtinId="0"/>
    <cellStyle name="Normal - Style1" xfId="1294" xr:uid="{00000000-0005-0000-0000-000030050000}"/>
    <cellStyle name="Normal 10" xfId="1295" xr:uid="{00000000-0005-0000-0000-000031050000}"/>
    <cellStyle name="Normal 10 2" xfId="1296" xr:uid="{00000000-0005-0000-0000-000032050000}"/>
    <cellStyle name="Normal 10 2 2" xfId="1297" xr:uid="{00000000-0005-0000-0000-000033050000}"/>
    <cellStyle name="Normal 10 2 2 2" xfId="1298" xr:uid="{00000000-0005-0000-0000-000034050000}"/>
    <cellStyle name="Normal 10 2 3" xfId="1299" xr:uid="{00000000-0005-0000-0000-000035050000}"/>
    <cellStyle name="Normal 10 3" xfId="1300" xr:uid="{00000000-0005-0000-0000-000036050000}"/>
    <cellStyle name="Normal 10 3 2" xfId="1301" xr:uid="{00000000-0005-0000-0000-000037050000}"/>
    <cellStyle name="Normal 10 4" xfId="1302" xr:uid="{00000000-0005-0000-0000-000038050000}"/>
    <cellStyle name="Normal 11" xfId="1303" xr:uid="{00000000-0005-0000-0000-000039050000}"/>
    <cellStyle name="Normal 11 2" xfId="1304" xr:uid="{00000000-0005-0000-0000-00003A050000}"/>
    <cellStyle name="Normal 11 3" xfId="1305" xr:uid="{00000000-0005-0000-0000-00003B050000}"/>
    <cellStyle name="Normal 11 4" xfId="1306" xr:uid="{00000000-0005-0000-0000-00003C050000}"/>
    <cellStyle name="Normal 11 5" xfId="1307" xr:uid="{00000000-0005-0000-0000-00003D050000}"/>
    <cellStyle name="Normal 11 6" xfId="1308" xr:uid="{00000000-0005-0000-0000-00003E050000}"/>
    <cellStyle name="Normal 12" xfId="1309" xr:uid="{00000000-0005-0000-0000-00003F050000}"/>
    <cellStyle name="Normal 12 2" xfId="1310" xr:uid="{00000000-0005-0000-0000-000040050000}"/>
    <cellStyle name="Normal 12 2 2" xfId="1311" xr:uid="{00000000-0005-0000-0000-000041050000}"/>
    <cellStyle name="Normal 12 3" xfId="1312" xr:uid="{00000000-0005-0000-0000-000042050000}"/>
    <cellStyle name="Normal 13" xfId="1313" xr:uid="{00000000-0005-0000-0000-000043050000}"/>
    <cellStyle name="Normal 13 2" xfId="1314" xr:uid="{00000000-0005-0000-0000-000044050000}"/>
    <cellStyle name="Normal 13 2 2" xfId="1315" xr:uid="{00000000-0005-0000-0000-000045050000}"/>
    <cellStyle name="Normal 13 3" xfId="1316" xr:uid="{00000000-0005-0000-0000-000046050000}"/>
    <cellStyle name="Normal 14" xfId="1317" xr:uid="{00000000-0005-0000-0000-000047050000}"/>
    <cellStyle name="Normal 14 10" xfId="1318" xr:uid="{00000000-0005-0000-0000-000048050000}"/>
    <cellStyle name="Normal 14 10 2" xfId="1319" xr:uid="{00000000-0005-0000-0000-000049050000}"/>
    <cellStyle name="Normal 14 11" xfId="1320" xr:uid="{00000000-0005-0000-0000-00004A050000}"/>
    <cellStyle name="Normal 14 2" xfId="1321" xr:uid="{00000000-0005-0000-0000-00004B050000}"/>
    <cellStyle name="Normal 14 2 2" xfId="1322" xr:uid="{00000000-0005-0000-0000-00004C050000}"/>
    <cellStyle name="Normal 14 2 2 2" xfId="1323" xr:uid="{00000000-0005-0000-0000-00004D050000}"/>
    <cellStyle name="Normal 14 2 2 2 2" xfId="1324" xr:uid="{00000000-0005-0000-0000-00004E050000}"/>
    <cellStyle name="Normal 14 2 2 3" xfId="1325" xr:uid="{00000000-0005-0000-0000-00004F050000}"/>
    <cellStyle name="Normal 14 2 3" xfId="1326" xr:uid="{00000000-0005-0000-0000-000050050000}"/>
    <cellStyle name="Normal 14 2 3 2" xfId="1327" xr:uid="{00000000-0005-0000-0000-000051050000}"/>
    <cellStyle name="Normal 14 2 4" xfId="1328" xr:uid="{00000000-0005-0000-0000-000052050000}"/>
    <cellStyle name="Normal 14 3" xfId="1329" xr:uid="{00000000-0005-0000-0000-000053050000}"/>
    <cellStyle name="Normal 14 3 2" xfId="1330" xr:uid="{00000000-0005-0000-0000-000054050000}"/>
    <cellStyle name="Normal 14 3 2 2" xfId="1331" xr:uid="{00000000-0005-0000-0000-000055050000}"/>
    <cellStyle name="Normal 14 3 2 2 2" xfId="1332" xr:uid="{00000000-0005-0000-0000-000056050000}"/>
    <cellStyle name="Normal 14 3 2 3" xfId="1333" xr:uid="{00000000-0005-0000-0000-000057050000}"/>
    <cellStyle name="Normal 14 3 3" xfId="1334" xr:uid="{00000000-0005-0000-0000-000058050000}"/>
    <cellStyle name="Normal 14 3 3 2" xfId="1335" xr:uid="{00000000-0005-0000-0000-000059050000}"/>
    <cellStyle name="Normal 14 3 4" xfId="1336" xr:uid="{00000000-0005-0000-0000-00005A050000}"/>
    <cellStyle name="Normal 14 4" xfId="1337" xr:uid="{00000000-0005-0000-0000-00005B050000}"/>
    <cellStyle name="Normal 14 4 2" xfId="1338" xr:uid="{00000000-0005-0000-0000-00005C050000}"/>
    <cellStyle name="Normal 14 4 2 2" xfId="1339" xr:uid="{00000000-0005-0000-0000-00005D050000}"/>
    <cellStyle name="Normal 14 4 2 2 2" xfId="1340" xr:uid="{00000000-0005-0000-0000-00005E050000}"/>
    <cellStyle name="Normal 14 4 2 3" xfId="1341" xr:uid="{00000000-0005-0000-0000-00005F050000}"/>
    <cellStyle name="Normal 14 4 3" xfId="1342" xr:uid="{00000000-0005-0000-0000-000060050000}"/>
    <cellStyle name="Normal 14 4 3 2" xfId="1343" xr:uid="{00000000-0005-0000-0000-000061050000}"/>
    <cellStyle name="Normal 14 4 4" xfId="1344" xr:uid="{00000000-0005-0000-0000-000062050000}"/>
    <cellStyle name="Normal 14 5" xfId="1345" xr:uid="{00000000-0005-0000-0000-000063050000}"/>
    <cellStyle name="Normal 14 5 2" xfId="1346" xr:uid="{00000000-0005-0000-0000-000064050000}"/>
    <cellStyle name="Normal 14 5 2 2" xfId="1347" xr:uid="{00000000-0005-0000-0000-000065050000}"/>
    <cellStyle name="Normal 14 5 2 2 2" xfId="1348" xr:uid="{00000000-0005-0000-0000-000066050000}"/>
    <cellStyle name="Normal 14 5 2 3" xfId="1349" xr:uid="{00000000-0005-0000-0000-000067050000}"/>
    <cellStyle name="Normal 14 5 3" xfId="1350" xr:uid="{00000000-0005-0000-0000-000068050000}"/>
    <cellStyle name="Normal 14 5 3 2" xfId="1351" xr:uid="{00000000-0005-0000-0000-000069050000}"/>
    <cellStyle name="Normal 14 5 4" xfId="1352" xr:uid="{00000000-0005-0000-0000-00006A050000}"/>
    <cellStyle name="Normal 14 6" xfId="1353" xr:uid="{00000000-0005-0000-0000-00006B050000}"/>
    <cellStyle name="Normal 14 6 2" xfId="1354" xr:uid="{00000000-0005-0000-0000-00006C050000}"/>
    <cellStyle name="Normal 14 6 2 2" xfId="1355" xr:uid="{00000000-0005-0000-0000-00006D050000}"/>
    <cellStyle name="Normal 14 6 2 2 2" xfId="1356" xr:uid="{00000000-0005-0000-0000-00006E050000}"/>
    <cellStyle name="Normal 14 6 2 3" xfId="1357" xr:uid="{00000000-0005-0000-0000-00006F050000}"/>
    <cellStyle name="Normal 14 6 3" xfId="1358" xr:uid="{00000000-0005-0000-0000-000070050000}"/>
    <cellStyle name="Normal 14 6 3 2" xfId="1359" xr:uid="{00000000-0005-0000-0000-000071050000}"/>
    <cellStyle name="Normal 14 6 4" xfId="1360" xr:uid="{00000000-0005-0000-0000-000072050000}"/>
    <cellStyle name="Normal 14 7" xfId="1361" xr:uid="{00000000-0005-0000-0000-000073050000}"/>
    <cellStyle name="Normal 14 7 2" xfId="1362" xr:uid="{00000000-0005-0000-0000-000074050000}"/>
    <cellStyle name="Normal 14 7 2 2" xfId="1363" xr:uid="{00000000-0005-0000-0000-000075050000}"/>
    <cellStyle name="Normal 14 7 2 2 2" xfId="1364" xr:uid="{00000000-0005-0000-0000-000076050000}"/>
    <cellStyle name="Normal 14 7 2 3" xfId="1365" xr:uid="{00000000-0005-0000-0000-000077050000}"/>
    <cellStyle name="Normal 14 7 3" xfId="1366" xr:uid="{00000000-0005-0000-0000-000078050000}"/>
    <cellStyle name="Normal 14 7 3 2" xfId="1367" xr:uid="{00000000-0005-0000-0000-000079050000}"/>
    <cellStyle name="Normal 14 7 4" xfId="1368" xr:uid="{00000000-0005-0000-0000-00007A050000}"/>
    <cellStyle name="Normal 14 8" xfId="1369" xr:uid="{00000000-0005-0000-0000-00007B050000}"/>
    <cellStyle name="Normal 14 8 2" xfId="1370" xr:uid="{00000000-0005-0000-0000-00007C050000}"/>
    <cellStyle name="Normal 14 8 2 2" xfId="1371" xr:uid="{00000000-0005-0000-0000-00007D050000}"/>
    <cellStyle name="Normal 14 8 2 2 2" xfId="1372" xr:uid="{00000000-0005-0000-0000-00007E050000}"/>
    <cellStyle name="Normal 14 8 2 3" xfId="1373" xr:uid="{00000000-0005-0000-0000-00007F050000}"/>
    <cellStyle name="Normal 14 8 3" xfId="1374" xr:uid="{00000000-0005-0000-0000-000080050000}"/>
    <cellStyle name="Normal 14 8 3 2" xfId="1375" xr:uid="{00000000-0005-0000-0000-000081050000}"/>
    <cellStyle name="Normal 14 8 4" xfId="1376" xr:uid="{00000000-0005-0000-0000-000082050000}"/>
    <cellStyle name="Normal 14 9" xfId="1377" xr:uid="{00000000-0005-0000-0000-000083050000}"/>
    <cellStyle name="Normal 14 9 2" xfId="1378" xr:uid="{00000000-0005-0000-0000-000084050000}"/>
    <cellStyle name="Normal 14 9 2 2" xfId="1379" xr:uid="{00000000-0005-0000-0000-000085050000}"/>
    <cellStyle name="Normal 14 9 3" xfId="1380" xr:uid="{00000000-0005-0000-0000-000086050000}"/>
    <cellStyle name="Normal 15" xfId="1381" xr:uid="{00000000-0005-0000-0000-000087050000}"/>
    <cellStyle name="Normal 15 10" xfId="1382" xr:uid="{00000000-0005-0000-0000-000088050000}"/>
    <cellStyle name="Normal 15 10 2" xfId="1383" xr:uid="{00000000-0005-0000-0000-000089050000}"/>
    <cellStyle name="Normal 15 11" xfId="1384" xr:uid="{00000000-0005-0000-0000-00008A050000}"/>
    <cellStyle name="Normal 15 2" xfId="1385" xr:uid="{00000000-0005-0000-0000-00008B050000}"/>
    <cellStyle name="Normal 15 2 2" xfId="1386" xr:uid="{00000000-0005-0000-0000-00008C050000}"/>
    <cellStyle name="Normal 15 2 2 2" xfId="1387" xr:uid="{00000000-0005-0000-0000-00008D050000}"/>
    <cellStyle name="Normal 15 2 2 2 2" xfId="1388" xr:uid="{00000000-0005-0000-0000-00008E050000}"/>
    <cellStyle name="Normal 15 2 2 3" xfId="1389" xr:uid="{00000000-0005-0000-0000-00008F050000}"/>
    <cellStyle name="Normal 15 2 3" xfId="1390" xr:uid="{00000000-0005-0000-0000-000090050000}"/>
    <cellStyle name="Normal 15 2 3 2" xfId="1391" xr:uid="{00000000-0005-0000-0000-000091050000}"/>
    <cellStyle name="Normal 15 2 4" xfId="1392" xr:uid="{00000000-0005-0000-0000-000092050000}"/>
    <cellStyle name="Normal 15 3" xfId="1393" xr:uid="{00000000-0005-0000-0000-000093050000}"/>
    <cellStyle name="Normal 15 3 2" xfId="1394" xr:uid="{00000000-0005-0000-0000-000094050000}"/>
    <cellStyle name="Normal 15 3 2 2" xfId="1395" xr:uid="{00000000-0005-0000-0000-000095050000}"/>
    <cellStyle name="Normal 15 3 2 2 2" xfId="1396" xr:uid="{00000000-0005-0000-0000-000096050000}"/>
    <cellStyle name="Normal 15 3 2 3" xfId="1397" xr:uid="{00000000-0005-0000-0000-000097050000}"/>
    <cellStyle name="Normal 15 3 3" xfId="1398" xr:uid="{00000000-0005-0000-0000-000098050000}"/>
    <cellStyle name="Normal 15 3 3 2" xfId="1399" xr:uid="{00000000-0005-0000-0000-000099050000}"/>
    <cellStyle name="Normal 15 3 4" xfId="1400" xr:uid="{00000000-0005-0000-0000-00009A050000}"/>
    <cellStyle name="Normal 15 4" xfId="1401" xr:uid="{00000000-0005-0000-0000-00009B050000}"/>
    <cellStyle name="Normal 15 4 2" xfId="1402" xr:uid="{00000000-0005-0000-0000-00009C050000}"/>
    <cellStyle name="Normal 15 4 2 2" xfId="1403" xr:uid="{00000000-0005-0000-0000-00009D050000}"/>
    <cellStyle name="Normal 15 4 2 2 2" xfId="1404" xr:uid="{00000000-0005-0000-0000-00009E050000}"/>
    <cellStyle name="Normal 15 4 2 3" xfId="1405" xr:uid="{00000000-0005-0000-0000-00009F050000}"/>
    <cellStyle name="Normal 15 4 3" xfId="1406" xr:uid="{00000000-0005-0000-0000-0000A0050000}"/>
    <cellStyle name="Normal 15 4 3 2" xfId="1407" xr:uid="{00000000-0005-0000-0000-0000A1050000}"/>
    <cellStyle name="Normal 15 4 4" xfId="1408" xr:uid="{00000000-0005-0000-0000-0000A2050000}"/>
    <cellStyle name="Normal 15 5" xfId="1409" xr:uid="{00000000-0005-0000-0000-0000A3050000}"/>
    <cellStyle name="Normal 15 5 2" xfId="1410" xr:uid="{00000000-0005-0000-0000-0000A4050000}"/>
    <cellStyle name="Normal 15 5 2 2" xfId="1411" xr:uid="{00000000-0005-0000-0000-0000A5050000}"/>
    <cellStyle name="Normal 15 5 2 2 2" xfId="1412" xr:uid="{00000000-0005-0000-0000-0000A6050000}"/>
    <cellStyle name="Normal 15 5 2 3" xfId="1413" xr:uid="{00000000-0005-0000-0000-0000A7050000}"/>
    <cellStyle name="Normal 15 5 3" xfId="1414" xr:uid="{00000000-0005-0000-0000-0000A8050000}"/>
    <cellStyle name="Normal 15 5 3 2" xfId="1415" xr:uid="{00000000-0005-0000-0000-0000A9050000}"/>
    <cellStyle name="Normal 15 5 4" xfId="1416" xr:uid="{00000000-0005-0000-0000-0000AA050000}"/>
    <cellStyle name="Normal 15 6" xfId="1417" xr:uid="{00000000-0005-0000-0000-0000AB050000}"/>
    <cellStyle name="Normal 15 6 2" xfId="1418" xr:uid="{00000000-0005-0000-0000-0000AC050000}"/>
    <cellStyle name="Normal 15 6 2 2" xfId="1419" xr:uid="{00000000-0005-0000-0000-0000AD050000}"/>
    <cellStyle name="Normal 15 6 2 2 2" xfId="1420" xr:uid="{00000000-0005-0000-0000-0000AE050000}"/>
    <cellStyle name="Normal 15 6 2 3" xfId="1421" xr:uid="{00000000-0005-0000-0000-0000AF050000}"/>
    <cellStyle name="Normal 15 6 3" xfId="1422" xr:uid="{00000000-0005-0000-0000-0000B0050000}"/>
    <cellStyle name="Normal 15 6 3 2" xfId="1423" xr:uid="{00000000-0005-0000-0000-0000B1050000}"/>
    <cellStyle name="Normal 15 6 4" xfId="1424" xr:uid="{00000000-0005-0000-0000-0000B2050000}"/>
    <cellStyle name="Normal 15 7" xfId="1425" xr:uid="{00000000-0005-0000-0000-0000B3050000}"/>
    <cellStyle name="Normal 15 7 2" xfId="1426" xr:uid="{00000000-0005-0000-0000-0000B4050000}"/>
    <cellStyle name="Normal 15 7 2 2" xfId="1427" xr:uid="{00000000-0005-0000-0000-0000B5050000}"/>
    <cellStyle name="Normal 15 7 2 2 2" xfId="1428" xr:uid="{00000000-0005-0000-0000-0000B6050000}"/>
    <cellStyle name="Normal 15 7 2 3" xfId="1429" xr:uid="{00000000-0005-0000-0000-0000B7050000}"/>
    <cellStyle name="Normal 15 7 3" xfId="1430" xr:uid="{00000000-0005-0000-0000-0000B8050000}"/>
    <cellStyle name="Normal 15 7 3 2" xfId="1431" xr:uid="{00000000-0005-0000-0000-0000B9050000}"/>
    <cellStyle name="Normal 15 7 4" xfId="1432" xr:uid="{00000000-0005-0000-0000-0000BA050000}"/>
    <cellStyle name="Normal 15 8" xfId="1433" xr:uid="{00000000-0005-0000-0000-0000BB050000}"/>
    <cellStyle name="Normal 15 8 2" xfId="1434" xr:uid="{00000000-0005-0000-0000-0000BC050000}"/>
    <cellStyle name="Normal 15 8 2 2" xfId="1435" xr:uid="{00000000-0005-0000-0000-0000BD050000}"/>
    <cellStyle name="Normal 15 8 2 2 2" xfId="1436" xr:uid="{00000000-0005-0000-0000-0000BE050000}"/>
    <cellStyle name="Normal 15 8 2 3" xfId="1437" xr:uid="{00000000-0005-0000-0000-0000BF050000}"/>
    <cellStyle name="Normal 15 8 3" xfId="1438" xr:uid="{00000000-0005-0000-0000-0000C0050000}"/>
    <cellStyle name="Normal 15 8 3 2" xfId="1439" xr:uid="{00000000-0005-0000-0000-0000C1050000}"/>
    <cellStyle name="Normal 15 8 4" xfId="1440" xr:uid="{00000000-0005-0000-0000-0000C2050000}"/>
    <cellStyle name="Normal 15 9" xfId="1441" xr:uid="{00000000-0005-0000-0000-0000C3050000}"/>
    <cellStyle name="Normal 15 9 2" xfId="1442" xr:uid="{00000000-0005-0000-0000-0000C4050000}"/>
    <cellStyle name="Normal 15 9 2 2" xfId="1443" xr:uid="{00000000-0005-0000-0000-0000C5050000}"/>
    <cellStyle name="Normal 15 9 3" xfId="1444" xr:uid="{00000000-0005-0000-0000-0000C6050000}"/>
    <cellStyle name="Normal 16" xfId="1445" xr:uid="{00000000-0005-0000-0000-0000C7050000}"/>
    <cellStyle name="Normal 16 10" xfId="1446" xr:uid="{00000000-0005-0000-0000-0000C8050000}"/>
    <cellStyle name="Normal 16 10 2" xfId="1447" xr:uid="{00000000-0005-0000-0000-0000C9050000}"/>
    <cellStyle name="Normal 16 11" xfId="1448" xr:uid="{00000000-0005-0000-0000-0000CA050000}"/>
    <cellStyle name="Normal 16 2" xfId="1449" xr:uid="{00000000-0005-0000-0000-0000CB050000}"/>
    <cellStyle name="Normal 16 2 2" xfId="1450" xr:uid="{00000000-0005-0000-0000-0000CC050000}"/>
    <cellStyle name="Normal 16 2 2 2" xfId="1451" xr:uid="{00000000-0005-0000-0000-0000CD050000}"/>
    <cellStyle name="Normal 16 2 2 2 2" xfId="1452" xr:uid="{00000000-0005-0000-0000-0000CE050000}"/>
    <cellStyle name="Normal 16 2 2 3" xfId="1453" xr:uid="{00000000-0005-0000-0000-0000CF050000}"/>
    <cellStyle name="Normal 16 2 3" xfId="1454" xr:uid="{00000000-0005-0000-0000-0000D0050000}"/>
    <cellStyle name="Normal 16 2 3 2" xfId="1455" xr:uid="{00000000-0005-0000-0000-0000D1050000}"/>
    <cellStyle name="Normal 16 2 4" xfId="1456" xr:uid="{00000000-0005-0000-0000-0000D2050000}"/>
    <cellStyle name="Normal 16 3" xfId="1457" xr:uid="{00000000-0005-0000-0000-0000D3050000}"/>
    <cellStyle name="Normal 16 3 2" xfId="1458" xr:uid="{00000000-0005-0000-0000-0000D4050000}"/>
    <cellStyle name="Normal 16 3 2 2" xfId="1459" xr:uid="{00000000-0005-0000-0000-0000D5050000}"/>
    <cellStyle name="Normal 16 3 2 2 2" xfId="1460" xr:uid="{00000000-0005-0000-0000-0000D6050000}"/>
    <cellStyle name="Normal 16 3 2 3" xfId="1461" xr:uid="{00000000-0005-0000-0000-0000D7050000}"/>
    <cellStyle name="Normal 16 3 3" xfId="1462" xr:uid="{00000000-0005-0000-0000-0000D8050000}"/>
    <cellStyle name="Normal 16 3 3 2" xfId="1463" xr:uid="{00000000-0005-0000-0000-0000D9050000}"/>
    <cellStyle name="Normal 16 3 4" xfId="1464" xr:uid="{00000000-0005-0000-0000-0000DA050000}"/>
    <cellStyle name="Normal 16 4" xfId="1465" xr:uid="{00000000-0005-0000-0000-0000DB050000}"/>
    <cellStyle name="Normal 16 4 2" xfId="1466" xr:uid="{00000000-0005-0000-0000-0000DC050000}"/>
    <cellStyle name="Normal 16 4 2 2" xfId="1467" xr:uid="{00000000-0005-0000-0000-0000DD050000}"/>
    <cellStyle name="Normal 16 4 2 2 2" xfId="1468" xr:uid="{00000000-0005-0000-0000-0000DE050000}"/>
    <cellStyle name="Normal 16 4 2 3" xfId="1469" xr:uid="{00000000-0005-0000-0000-0000DF050000}"/>
    <cellStyle name="Normal 16 4 3" xfId="1470" xr:uid="{00000000-0005-0000-0000-0000E0050000}"/>
    <cellStyle name="Normal 16 4 3 2" xfId="1471" xr:uid="{00000000-0005-0000-0000-0000E1050000}"/>
    <cellStyle name="Normal 16 4 4" xfId="1472" xr:uid="{00000000-0005-0000-0000-0000E2050000}"/>
    <cellStyle name="Normal 16 5" xfId="1473" xr:uid="{00000000-0005-0000-0000-0000E3050000}"/>
    <cellStyle name="Normal 16 5 2" xfId="1474" xr:uid="{00000000-0005-0000-0000-0000E4050000}"/>
    <cellStyle name="Normal 16 5 2 2" xfId="1475" xr:uid="{00000000-0005-0000-0000-0000E5050000}"/>
    <cellStyle name="Normal 16 5 2 2 2" xfId="1476" xr:uid="{00000000-0005-0000-0000-0000E6050000}"/>
    <cellStyle name="Normal 16 5 2 3" xfId="1477" xr:uid="{00000000-0005-0000-0000-0000E7050000}"/>
    <cellStyle name="Normal 16 5 3" xfId="1478" xr:uid="{00000000-0005-0000-0000-0000E8050000}"/>
    <cellStyle name="Normal 16 5 3 2" xfId="1479" xr:uid="{00000000-0005-0000-0000-0000E9050000}"/>
    <cellStyle name="Normal 16 5 4" xfId="1480" xr:uid="{00000000-0005-0000-0000-0000EA050000}"/>
    <cellStyle name="Normal 16 6" xfId="1481" xr:uid="{00000000-0005-0000-0000-0000EB050000}"/>
    <cellStyle name="Normal 16 6 2" xfId="1482" xr:uid="{00000000-0005-0000-0000-0000EC050000}"/>
    <cellStyle name="Normal 16 6 2 2" xfId="1483" xr:uid="{00000000-0005-0000-0000-0000ED050000}"/>
    <cellStyle name="Normal 16 6 2 2 2" xfId="1484" xr:uid="{00000000-0005-0000-0000-0000EE050000}"/>
    <cellStyle name="Normal 16 6 2 3" xfId="1485" xr:uid="{00000000-0005-0000-0000-0000EF050000}"/>
    <cellStyle name="Normal 16 6 3" xfId="1486" xr:uid="{00000000-0005-0000-0000-0000F0050000}"/>
    <cellStyle name="Normal 16 6 3 2" xfId="1487" xr:uid="{00000000-0005-0000-0000-0000F1050000}"/>
    <cellStyle name="Normal 16 6 4" xfId="1488" xr:uid="{00000000-0005-0000-0000-0000F2050000}"/>
    <cellStyle name="Normal 16 7" xfId="1489" xr:uid="{00000000-0005-0000-0000-0000F3050000}"/>
    <cellStyle name="Normal 16 7 2" xfId="1490" xr:uid="{00000000-0005-0000-0000-0000F4050000}"/>
    <cellStyle name="Normal 16 7 2 2" xfId="1491" xr:uid="{00000000-0005-0000-0000-0000F5050000}"/>
    <cellStyle name="Normal 16 7 2 2 2" xfId="1492" xr:uid="{00000000-0005-0000-0000-0000F6050000}"/>
    <cellStyle name="Normal 16 7 2 3" xfId="1493" xr:uid="{00000000-0005-0000-0000-0000F7050000}"/>
    <cellStyle name="Normal 16 7 3" xfId="1494" xr:uid="{00000000-0005-0000-0000-0000F8050000}"/>
    <cellStyle name="Normal 16 7 3 2" xfId="1495" xr:uid="{00000000-0005-0000-0000-0000F9050000}"/>
    <cellStyle name="Normal 16 7 4" xfId="1496" xr:uid="{00000000-0005-0000-0000-0000FA050000}"/>
    <cellStyle name="Normal 16 8" xfId="1497" xr:uid="{00000000-0005-0000-0000-0000FB050000}"/>
    <cellStyle name="Normal 16 8 2" xfId="1498" xr:uid="{00000000-0005-0000-0000-0000FC050000}"/>
    <cellStyle name="Normal 16 8 2 2" xfId="1499" xr:uid="{00000000-0005-0000-0000-0000FD050000}"/>
    <cellStyle name="Normal 16 8 2 2 2" xfId="1500" xr:uid="{00000000-0005-0000-0000-0000FE050000}"/>
    <cellStyle name="Normal 16 8 2 3" xfId="1501" xr:uid="{00000000-0005-0000-0000-0000FF050000}"/>
    <cellStyle name="Normal 16 8 3" xfId="1502" xr:uid="{00000000-0005-0000-0000-000000060000}"/>
    <cellStyle name="Normal 16 8 3 2" xfId="1503" xr:uid="{00000000-0005-0000-0000-000001060000}"/>
    <cellStyle name="Normal 16 8 4" xfId="1504" xr:uid="{00000000-0005-0000-0000-000002060000}"/>
    <cellStyle name="Normal 16 9" xfId="1505" xr:uid="{00000000-0005-0000-0000-000003060000}"/>
    <cellStyle name="Normal 16 9 2" xfId="1506" xr:uid="{00000000-0005-0000-0000-000004060000}"/>
    <cellStyle name="Normal 16 9 2 2" xfId="1507" xr:uid="{00000000-0005-0000-0000-000005060000}"/>
    <cellStyle name="Normal 16 9 3" xfId="1508" xr:uid="{00000000-0005-0000-0000-000006060000}"/>
    <cellStyle name="Normal 17" xfId="1509" xr:uid="{00000000-0005-0000-0000-000007060000}"/>
    <cellStyle name="Normal 18" xfId="1510" xr:uid="{00000000-0005-0000-0000-000008060000}"/>
    <cellStyle name="Normal 18 2" xfId="1511" xr:uid="{00000000-0005-0000-0000-000009060000}"/>
    <cellStyle name="Normal 19" xfId="1512" xr:uid="{00000000-0005-0000-0000-00000A060000}"/>
    <cellStyle name="Normal 19 2" xfId="1513" xr:uid="{00000000-0005-0000-0000-00000B060000}"/>
    <cellStyle name="Normal 2" xfId="2" xr:uid="{00000000-0005-0000-0000-00000C060000}"/>
    <cellStyle name="Normal 2 10" xfId="1515" xr:uid="{00000000-0005-0000-0000-00000D060000}"/>
    <cellStyle name="Normal 2 11" xfId="1516" xr:uid="{00000000-0005-0000-0000-00000E060000}"/>
    <cellStyle name="Normal 2 12" xfId="1517" xr:uid="{00000000-0005-0000-0000-00000F060000}"/>
    <cellStyle name="Normal 2 12 2" xfId="1518" xr:uid="{00000000-0005-0000-0000-000010060000}"/>
    <cellStyle name="Normal 2 12 3" xfId="1519" xr:uid="{00000000-0005-0000-0000-000011060000}"/>
    <cellStyle name="Normal 2 12 4" xfId="1520" xr:uid="{00000000-0005-0000-0000-000012060000}"/>
    <cellStyle name="Normal 2 13" xfId="1521" xr:uid="{00000000-0005-0000-0000-000013060000}"/>
    <cellStyle name="Normal 2 14" xfId="1522" xr:uid="{00000000-0005-0000-0000-000014060000}"/>
    <cellStyle name="Normal 2 15" xfId="1523" xr:uid="{00000000-0005-0000-0000-000015060000}"/>
    <cellStyle name="Normal 2 16" xfId="1524" xr:uid="{00000000-0005-0000-0000-000016060000}"/>
    <cellStyle name="Normal 2 17" xfId="1525" xr:uid="{00000000-0005-0000-0000-000017060000}"/>
    <cellStyle name="Normal 2 17 2" xfId="1526" xr:uid="{00000000-0005-0000-0000-000018060000}"/>
    <cellStyle name="Normal 2 18" xfId="1527" xr:uid="{00000000-0005-0000-0000-000019060000}"/>
    <cellStyle name="Normal 2 19" xfId="1528" xr:uid="{00000000-0005-0000-0000-00001A060000}"/>
    <cellStyle name="Normal 2 2" xfId="1529" xr:uid="{00000000-0005-0000-0000-00001B060000}"/>
    <cellStyle name="Normal 2 2 10" xfId="1530" xr:uid="{00000000-0005-0000-0000-00001C060000}"/>
    <cellStyle name="Normal 2 2 11" xfId="1531" xr:uid="{00000000-0005-0000-0000-00001D060000}"/>
    <cellStyle name="Normal 2 2 11 2" xfId="1532" xr:uid="{00000000-0005-0000-0000-00001E060000}"/>
    <cellStyle name="Normal 2 2 12" xfId="1533" xr:uid="{00000000-0005-0000-0000-00001F060000}"/>
    <cellStyle name="Normal 2 2 12 2" xfId="1534" xr:uid="{00000000-0005-0000-0000-000020060000}"/>
    <cellStyle name="Normal 2 2 13" xfId="1535" xr:uid="{00000000-0005-0000-0000-000021060000}"/>
    <cellStyle name="Normal 2 2 14" xfId="1536" xr:uid="{00000000-0005-0000-0000-000022060000}"/>
    <cellStyle name="Normal 2 2 15" xfId="1537" xr:uid="{00000000-0005-0000-0000-000023060000}"/>
    <cellStyle name="Normal 2 2 16" xfId="1538" xr:uid="{00000000-0005-0000-0000-000024060000}"/>
    <cellStyle name="Normal 2 2 2" xfId="1539" xr:uid="{00000000-0005-0000-0000-000025060000}"/>
    <cellStyle name="Normal 2 2 2 10" xfId="1540" xr:uid="{00000000-0005-0000-0000-000026060000}"/>
    <cellStyle name="Normal 2 2 2 10 2" xfId="1541" xr:uid="{00000000-0005-0000-0000-000027060000}"/>
    <cellStyle name="Normal 2 2 2 10 3" xfId="1542" xr:uid="{00000000-0005-0000-0000-000028060000}"/>
    <cellStyle name="Normal 2 2 2 10 4" xfId="1543" xr:uid="{00000000-0005-0000-0000-000029060000}"/>
    <cellStyle name="Normal 2 2 2 11" xfId="1544" xr:uid="{00000000-0005-0000-0000-00002A060000}"/>
    <cellStyle name="Normal 2 2 2 12" xfId="1545" xr:uid="{00000000-0005-0000-0000-00002B060000}"/>
    <cellStyle name="Normal 2 2 2 13" xfId="1546" xr:uid="{00000000-0005-0000-0000-00002C060000}"/>
    <cellStyle name="Normal 2 2 2 14" xfId="1547" xr:uid="{00000000-0005-0000-0000-00002D060000}"/>
    <cellStyle name="Normal 2 2 2 15" xfId="1548" xr:uid="{00000000-0005-0000-0000-00002E060000}"/>
    <cellStyle name="Normal 2 2 2 16" xfId="1549" xr:uid="{00000000-0005-0000-0000-00002F060000}"/>
    <cellStyle name="Normal 2 2 2 17" xfId="1550" xr:uid="{00000000-0005-0000-0000-000030060000}"/>
    <cellStyle name="Normal 2 2 2 18" xfId="1551" xr:uid="{00000000-0005-0000-0000-000031060000}"/>
    <cellStyle name="Normal 2 2 2 19" xfId="1552" xr:uid="{00000000-0005-0000-0000-000032060000}"/>
    <cellStyle name="Normal 2 2 2 2" xfId="1553" xr:uid="{00000000-0005-0000-0000-000033060000}"/>
    <cellStyle name="Normal 2 2 2 2 10" xfId="1554" xr:uid="{00000000-0005-0000-0000-000034060000}"/>
    <cellStyle name="Normal 2 2 2 2 11" xfId="1555" xr:uid="{00000000-0005-0000-0000-000035060000}"/>
    <cellStyle name="Normal 2 2 2 2 12" xfId="1556" xr:uid="{00000000-0005-0000-0000-000036060000}"/>
    <cellStyle name="Normal 2 2 2 2 13" xfId="1557" xr:uid="{00000000-0005-0000-0000-000037060000}"/>
    <cellStyle name="Normal 2 2 2 2 14" xfId="1558" xr:uid="{00000000-0005-0000-0000-000038060000}"/>
    <cellStyle name="Normal 2 2 2 2 2" xfId="1559" xr:uid="{00000000-0005-0000-0000-000039060000}"/>
    <cellStyle name="Normal 2 2 2 2 2 10" xfId="1560" xr:uid="{00000000-0005-0000-0000-00003A060000}"/>
    <cellStyle name="Normal 2 2 2 2 2 11" xfId="1561" xr:uid="{00000000-0005-0000-0000-00003B060000}"/>
    <cellStyle name="Normal 2 2 2 2 2 12" xfId="1562" xr:uid="{00000000-0005-0000-0000-00003C060000}"/>
    <cellStyle name="Normal 2 2 2 2 2 2" xfId="1563" xr:uid="{00000000-0005-0000-0000-00003D060000}"/>
    <cellStyle name="Normal 2 2 2 2 2 2 2" xfId="1564" xr:uid="{00000000-0005-0000-0000-00003E060000}"/>
    <cellStyle name="Normal 2 2 2 2 2 2 2 2" xfId="1565" xr:uid="{00000000-0005-0000-0000-00003F060000}"/>
    <cellStyle name="Normal 2 2 2 2 2 2 2 3" xfId="1566" xr:uid="{00000000-0005-0000-0000-000040060000}"/>
    <cellStyle name="Normal 2 2 2 2 2 2 2 4" xfId="1567" xr:uid="{00000000-0005-0000-0000-000041060000}"/>
    <cellStyle name="Normal 2 2 2 2 2 2 2 5" xfId="1568" xr:uid="{00000000-0005-0000-0000-000042060000}"/>
    <cellStyle name="Normal 2 2 2 2 2 2 2 6" xfId="1569" xr:uid="{00000000-0005-0000-0000-000043060000}"/>
    <cellStyle name="Normal 2 2 2 2 2 2 2 7" xfId="1570" xr:uid="{00000000-0005-0000-0000-000044060000}"/>
    <cellStyle name="Normal 2 2 2 2 2 2 3" xfId="1571" xr:uid="{00000000-0005-0000-0000-000045060000}"/>
    <cellStyle name="Normal 2 2 2 2 2 2 4" xfId="1572" xr:uid="{00000000-0005-0000-0000-000046060000}"/>
    <cellStyle name="Normal 2 2 2 2 2 2 5" xfId="1573" xr:uid="{00000000-0005-0000-0000-000047060000}"/>
    <cellStyle name="Normal 2 2 2 2 2 2 6" xfId="1574" xr:uid="{00000000-0005-0000-0000-000048060000}"/>
    <cellStyle name="Normal 2 2 2 2 2 2 7" xfId="1575" xr:uid="{00000000-0005-0000-0000-000049060000}"/>
    <cellStyle name="Normal 2 2 2 2 2 2 8" xfId="1576" xr:uid="{00000000-0005-0000-0000-00004A060000}"/>
    <cellStyle name="Normal 2 2 2 2 2 2 9" xfId="1577" xr:uid="{00000000-0005-0000-0000-00004B060000}"/>
    <cellStyle name="Normal 2 2 2 2 2 3" xfId="1578" xr:uid="{00000000-0005-0000-0000-00004C060000}"/>
    <cellStyle name="Normal 2 2 2 2 2 4" xfId="1579" xr:uid="{00000000-0005-0000-0000-00004D060000}"/>
    <cellStyle name="Normal 2 2 2 2 2 5" xfId="1580" xr:uid="{00000000-0005-0000-0000-00004E060000}"/>
    <cellStyle name="Normal 2 2 2 2 2 6" xfId="1581" xr:uid="{00000000-0005-0000-0000-00004F060000}"/>
    <cellStyle name="Normal 2 2 2 2 2 7" xfId="1582" xr:uid="{00000000-0005-0000-0000-000050060000}"/>
    <cellStyle name="Normal 2 2 2 2 2 8" xfId="1583" xr:uid="{00000000-0005-0000-0000-000051060000}"/>
    <cellStyle name="Normal 2 2 2 2 2 9" xfId="1584" xr:uid="{00000000-0005-0000-0000-000052060000}"/>
    <cellStyle name="Normal 2 2 2 2 3" xfId="1585" xr:uid="{00000000-0005-0000-0000-000053060000}"/>
    <cellStyle name="Normal 2 2 2 2 4" xfId="1586" xr:uid="{00000000-0005-0000-0000-000054060000}"/>
    <cellStyle name="Normal 2 2 2 2 5" xfId="1587" xr:uid="{00000000-0005-0000-0000-000055060000}"/>
    <cellStyle name="Normal 2 2 2 2 5 2" xfId="1588" xr:uid="{00000000-0005-0000-0000-000056060000}"/>
    <cellStyle name="Normal 2 2 2 2 5 3" xfId="1589" xr:uid="{00000000-0005-0000-0000-000057060000}"/>
    <cellStyle name="Normal 2 2 2 2 5 4" xfId="1590" xr:uid="{00000000-0005-0000-0000-000058060000}"/>
    <cellStyle name="Normal 2 2 2 2 6" xfId="1591" xr:uid="{00000000-0005-0000-0000-000059060000}"/>
    <cellStyle name="Normal 2 2 2 2 7" xfId="1592" xr:uid="{00000000-0005-0000-0000-00005A060000}"/>
    <cellStyle name="Normal 2 2 2 2 8" xfId="1593" xr:uid="{00000000-0005-0000-0000-00005B060000}"/>
    <cellStyle name="Normal 2 2 2 2 9" xfId="1594" xr:uid="{00000000-0005-0000-0000-00005C060000}"/>
    <cellStyle name="Normal 2 2 2 20" xfId="1595" xr:uid="{00000000-0005-0000-0000-00005D060000}"/>
    <cellStyle name="Normal 2 2 2 3" xfId="1596" xr:uid="{00000000-0005-0000-0000-00005E060000}"/>
    <cellStyle name="Normal 2 2 2 4" xfId="1597" xr:uid="{00000000-0005-0000-0000-00005F060000}"/>
    <cellStyle name="Normal 2 2 2 5" xfId="1598" xr:uid="{00000000-0005-0000-0000-000060060000}"/>
    <cellStyle name="Normal 2 2 2 6" xfId="1599" xr:uid="{00000000-0005-0000-0000-000061060000}"/>
    <cellStyle name="Normal 2 2 2 7" xfId="1600" xr:uid="{00000000-0005-0000-0000-000062060000}"/>
    <cellStyle name="Normal 2 2 2 8" xfId="1601" xr:uid="{00000000-0005-0000-0000-000063060000}"/>
    <cellStyle name="Normal 2 2 2 9" xfId="1602" xr:uid="{00000000-0005-0000-0000-000064060000}"/>
    <cellStyle name="Normal 2 2 3" xfId="1603" xr:uid="{00000000-0005-0000-0000-000065060000}"/>
    <cellStyle name="Normal 2 2 3 2" xfId="1604" xr:uid="{00000000-0005-0000-0000-000066060000}"/>
    <cellStyle name="Normal 2 2 3 3" xfId="1605" xr:uid="{00000000-0005-0000-0000-000067060000}"/>
    <cellStyle name="Normal 2 2 3 4" xfId="1606" xr:uid="{00000000-0005-0000-0000-000068060000}"/>
    <cellStyle name="Normal 2 2 4" xfId="1607" xr:uid="{00000000-0005-0000-0000-000069060000}"/>
    <cellStyle name="Normal 2 2 5" xfId="1608" xr:uid="{00000000-0005-0000-0000-00006A060000}"/>
    <cellStyle name="Normal 2 2 6" xfId="1609" xr:uid="{00000000-0005-0000-0000-00006B060000}"/>
    <cellStyle name="Normal 2 2 6 2" xfId="1610" xr:uid="{00000000-0005-0000-0000-00006C060000}"/>
    <cellStyle name="Normal 2 2 6 3" xfId="1611" xr:uid="{00000000-0005-0000-0000-00006D060000}"/>
    <cellStyle name="Normal 2 2 6 4" xfId="1612" xr:uid="{00000000-0005-0000-0000-00006E060000}"/>
    <cellStyle name="Normal 2 2 7" xfId="1613" xr:uid="{00000000-0005-0000-0000-00006F060000}"/>
    <cellStyle name="Normal 2 2 8" xfId="1614" xr:uid="{00000000-0005-0000-0000-000070060000}"/>
    <cellStyle name="Normal 2 2 9" xfId="1615" xr:uid="{00000000-0005-0000-0000-000071060000}"/>
    <cellStyle name="Normal 2 20" xfId="1616" xr:uid="{00000000-0005-0000-0000-000072060000}"/>
    <cellStyle name="Normal 2 21" xfId="1617" xr:uid="{00000000-0005-0000-0000-000073060000}"/>
    <cellStyle name="Normal 2 22" xfId="1618" xr:uid="{00000000-0005-0000-0000-000074060000}"/>
    <cellStyle name="Normal 2 23" xfId="1619" xr:uid="{00000000-0005-0000-0000-000075060000}"/>
    <cellStyle name="Normal 2 24" xfId="1620" xr:uid="{00000000-0005-0000-0000-000076060000}"/>
    <cellStyle name="Normal 2 25" xfId="1621" xr:uid="{00000000-0005-0000-0000-000077060000}"/>
    <cellStyle name="Normal 2 26" xfId="1622" xr:uid="{00000000-0005-0000-0000-000078060000}"/>
    <cellStyle name="Normal 2 27" xfId="1623" xr:uid="{00000000-0005-0000-0000-000079060000}"/>
    <cellStyle name="Normal 2 28" xfId="1624" xr:uid="{00000000-0005-0000-0000-00007A060000}"/>
    <cellStyle name="Normal 2 29" xfId="1625" xr:uid="{00000000-0005-0000-0000-00007B060000}"/>
    <cellStyle name="Normal 2 3" xfId="1626" xr:uid="{00000000-0005-0000-0000-00007C060000}"/>
    <cellStyle name="Normal 2 3 2" xfId="1627" xr:uid="{00000000-0005-0000-0000-00007D060000}"/>
    <cellStyle name="Normal 2 3 2 2" xfId="1628" xr:uid="{00000000-0005-0000-0000-00007E060000}"/>
    <cellStyle name="Normal 2 3 3" xfId="1629" xr:uid="{00000000-0005-0000-0000-00007F060000}"/>
    <cellStyle name="Normal 2 30" xfId="1630" xr:uid="{00000000-0005-0000-0000-000080060000}"/>
    <cellStyle name="Normal 2 31" xfId="1631" xr:uid="{00000000-0005-0000-0000-000081060000}"/>
    <cellStyle name="Normal 2 32" xfId="1632" xr:uid="{00000000-0005-0000-0000-000082060000}"/>
    <cellStyle name="Normal 2 33" xfId="1633" xr:uid="{00000000-0005-0000-0000-000083060000}"/>
    <cellStyle name="Normal 2 34" xfId="1634" xr:uid="{00000000-0005-0000-0000-000084060000}"/>
    <cellStyle name="Normal 2 35" xfId="1635" xr:uid="{00000000-0005-0000-0000-000085060000}"/>
    <cellStyle name="Normal 2 36" xfId="1636" xr:uid="{00000000-0005-0000-0000-000086060000}"/>
    <cellStyle name="Normal 2 37" xfId="1637" xr:uid="{00000000-0005-0000-0000-000087060000}"/>
    <cellStyle name="Normal 2 38" xfId="1638" xr:uid="{00000000-0005-0000-0000-000088060000}"/>
    <cellStyle name="Normal 2 39" xfId="1639" xr:uid="{00000000-0005-0000-0000-000089060000}"/>
    <cellStyle name="Normal 2 4" xfId="1640" xr:uid="{00000000-0005-0000-0000-00008A060000}"/>
    <cellStyle name="Normal 2 4 2" xfId="1641" xr:uid="{00000000-0005-0000-0000-00008B060000}"/>
    <cellStyle name="Normal 2 4 3" xfId="1642" xr:uid="{00000000-0005-0000-0000-00008C060000}"/>
    <cellStyle name="Normal 2 4 4" xfId="1643" xr:uid="{00000000-0005-0000-0000-00008D060000}"/>
    <cellStyle name="Normal 2 4 5" xfId="1644" xr:uid="{00000000-0005-0000-0000-00008E060000}"/>
    <cellStyle name="Normal 2 40" xfId="1645" xr:uid="{00000000-0005-0000-0000-00008F060000}"/>
    <cellStyle name="Normal 2 41" xfId="1646" xr:uid="{00000000-0005-0000-0000-000090060000}"/>
    <cellStyle name="Normal 2 42" xfId="1647" xr:uid="{00000000-0005-0000-0000-000091060000}"/>
    <cellStyle name="Normal 2 43" xfId="1648" xr:uid="{00000000-0005-0000-0000-000092060000}"/>
    <cellStyle name="Normal 2 44" xfId="1649" xr:uid="{00000000-0005-0000-0000-000093060000}"/>
    <cellStyle name="Normal 2 45" xfId="1650" xr:uid="{00000000-0005-0000-0000-000094060000}"/>
    <cellStyle name="Normal 2 46" xfId="1651" xr:uid="{00000000-0005-0000-0000-000095060000}"/>
    <cellStyle name="Normal 2 47" xfId="1652" xr:uid="{00000000-0005-0000-0000-000096060000}"/>
    <cellStyle name="Normal 2 48" xfId="1653" xr:uid="{00000000-0005-0000-0000-000097060000}"/>
    <cellStyle name="Normal 2 49" xfId="1654" xr:uid="{00000000-0005-0000-0000-000098060000}"/>
    <cellStyle name="Normal 2 5" xfId="1655" xr:uid="{00000000-0005-0000-0000-000099060000}"/>
    <cellStyle name="Normal 2 5 2" xfId="1656" xr:uid="{00000000-0005-0000-0000-00009A060000}"/>
    <cellStyle name="Normal 2 5 3" xfId="1657" xr:uid="{00000000-0005-0000-0000-00009B060000}"/>
    <cellStyle name="Normal 2 5 4" xfId="1658" xr:uid="{00000000-0005-0000-0000-00009C060000}"/>
    <cellStyle name="Normal 2 5 5" xfId="1659" xr:uid="{00000000-0005-0000-0000-00009D060000}"/>
    <cellStyle name="Normal 2 5 6" xfId="1660" xr:uid="{00000000-0005-0000-0000-00009E060000}"/>
    <cellStyle name="Normal 2 5 7" xfId="1661" xr:uid="{00000000-0005-0000-0000-00009F060000}"/>
    <cellStyle name="Normal 2 50" xfId="1662" xr:uid="{00000000-0005-0000-0000-0000A0060000}"/>
    <cellStyle name="Normal 2 51" xfId="1663" xr:uid="{00000000-0005-0000-0000-0000A1060000}"/>
    <cellStyle name="Normal 2 52" xfId="1664" xr:uid="{00000000-0005-0000-0000-0000A2060000}"/>
    <cellStyle name="Normal 2 53" xfId="1665" xr:uid="{00000000-0005-0000-0000-0000A3060000}"/>
    <cellStyle name="Normal 2 54" xfId="1666" xr:uid="{00000000-0005-0000-0000-0000A4060000}"/>
    <cellStyle name="Normal 2 55" xfId="1667" xr:uid="{00000000-0005-0000-0000-0000A5060000}"/>
    <cellStyle name="Normal 2 56" xfId="1668" xr:uid="{00000000-0005-0000-0000-0000A6060000}"/>
    <cellStyle name="Normal 2 57" xfId="1514" xr:uid="{00000000-0005-0000-0000-0000A7060000}"/>
    <cellStyle name="Normal 2 6" xfId="1669" xr:uid="{00000000-0005-0000-0000-0000A8060000}"/>
    <cellStyle name="Normal 2 6 2" xfId="1670" xr:uid="{00000000-0005-0000-0000-0000A9060000}"/>
    <cellStyle name="Normal 2 6 3" xfId="1671" xr:uid="{00000000-0005-0000-0000-0000AA060000}"/>
    <cellStyle name="Normal 2 6 4" xfId="1672" xr:uid="{00000000-0005-0000-0000-0000AB060000}"/>
    <cellStyle name="Normal 2 6 5" xfId="1673" xr:uid="{00000000-0005-0000-0000-0000AC060000}"/>
    <cellStyle name="Normal 2 7" xfId="1674" xr:uid="{00000000-0005-0000-0000-0000AD060000}"/>
    <cellStyle name="Normal 2 7 2" xfId="1675" xr:uid="{00000000-0005-0000-0000-0000AE060000}"/>
    <cellStyle name="Normal 2 7 3" xfId="1676" xr:uid="{00000000-0005-0000-0000-0000AF060000}"/>
    <cellStyle name="Normal 2 7 4" xfId="1677" xr:uid="{00000000-0005-0000-0000-0000B0060000}"/>
    <cellStyle name="Normal 2 7 5" xfId="1678" xr:uid="{00000000-0005-0000-0000-0000B1060000}"/>
    <cellStyle name="Normal 2 8" xfId="1679" xr:uid="{00000000-0005-0000-0000-0000B2060000}"/>
    <cellStyle name="Normal 2 8 2" xfId="1680" xr:uid="{00000000-0005-0000-0000-0000B3060000}"/>
    <cellStyle name="Normal 2 9" xfId="1681" xr:uid="{00000000-0005-0000-0000-0000B4060000}"/>
    <cellStyle name="Normal 2_AUG_TabChap2" xfId="1682" xr:uid="{00000000-0005-0000-0000-0000B5060000}"/>
    <cellStyle name="Normal 20" xfId="1683" xr:uid="{00000000-0005-0000-0000-0000B6060000}"/>
    <cellStyle name="Normal 21" xfId="1684" xr:uid="{00000000-0005-0000-0000-0000B7060000}"/>
    <cellStyle name="Normal 22" xfId="1685" xr:uid="{00000000-0005-0000-0000-0000B8060000}"/>
    <cellStyle name="Normal 23" xfId="1686" xr:uid="{00000000-0005-0000-0000-0000B9060000}"/>
    <cellStyle name="Normal 24" xfId="1687" xr:uid="{00000000-0005-0000-0000-0000BA060000}"/>
    <cellStyle name="Normal 3" xfId="4" xr:uid="{00000000-0005-0000-0000-0000BB060000}"/>
    <cellStyle name="Normal 3 10" xfId="1689" xr:uid="{00000000-0005-0000-0000-0000BC060000}"/>
    <cellStyle name="Normal 3 11" xfId="1688" xr:uid="{00000000-0005-0000-0000-0000BD060000}"/>
    <cellStyle name="Normal 3 2" xfId="1690" xr:uid="{00000000-0005-0000-0000-0000BE060000}"/>
    <cellStyle name="Normal 3 2 2" xfId="1691" xr:uid="{00000000-0005-0000-0000-0000BF060000}"/>
    <cellStyle name="Normal 3 2 2 2" xfId="1692" xr:uid="{00000000-0005-0000-0000-0000C0060000}"/>
    <cellStyle name="Normal 3 2 2 2 2" xfId="1693" xr:uid="{00000000-0005-0000-0000-0000C1060000}"/>
    <cellStyle name="Normal 3 2 2 2 3" xfId="1694" xr:uid="{00000000-0005-0000-0000-0000C2060000}"/>
    <cellStyle name="Normal 3 2 2 3" xfId="1695" xr:uid="{00000000-0005-0000-0000-0000C3060000}"/>
    <cellStyle name="Normal 3 2 2 3 2" xfId="1696" xr:uid="{00000000-0005-0000-0000-0000C4060000}"/>
    <cellStyle name="Normal 3 2 2 3 2 2" xfId="1697" xr:uid="{00000000-0005-0000-0000-0000C5060000}"/>
    <cellStyle name="Normal 3 2 2 3 3" xfId="1698" xr:uid="{00000000-0005-0000-0000-0000C6060000}"/>
    <cellStyle name="Normal 3 2 2 4" xfId="1699" xr:uid="{00000000-0005-0000-0000-0000C7060000}"/>
    <cellStyle name="Normal 3 2 2 4 2" xfId="1700" xr:uid="{00000000-0005-0000-0000-0000C8060000}"/>
    <cellStyle name="Normal 3 2 2 5" xfId="1701" xr:uid="{00000000-0005-0000-0000-0000C9060000}"/>
    <cellStyle name="Normal 3 2 3" xfId="1702" xr:uid="{00000000-0005-0000-0000-0000CA060000}"/>
    <cellStyle name="Normal 3 2 4" xfId="1703" xr:uid="{00000000-0005-0000-0000-0000CB060000}"/>
    <cellStyle name="Normal 3 2 5" xfId="1704" xr:uid="{00000000-0005-0000-0000-0000CC060000}"/>
    <cellStyle name="Normal 3 2 6" xfId="1705" xr:uid="{00000000-0005-0000-0000-0000CD060000}"/>
    <cellStyle name="Normal 3 2 7" xfId="1706" xr:uid="{00000000-0005-0000-0000-0000CE060000}"/>
    <cellStyle name="Normal 3 3" xfId="1707" xr:uid="{00000000-0005-0000-0000-0000CF060000}"/>
    <cellStyle name="Normal 3 3 2" xfId="1708" xr:uid="{00000000-0005-0000-0000-0000D0060000}"/>
    <cellStyle name="Normal 3 3 2 2" xfId="1709" xr:uid="{00000000-0005-0000-0000-0000D1060000}"/>
    <cellStyle name="Normal 3 4" xfId="1710" xr:uid="{00000000-0005-0000-0000-0000D2060000}"/>
    <cellStyle name="Normal 3 4 2" xfId="1711" xr:uid="{00000000-0005-0000-0000-0000D3060000}"/>
    <cellStyle name="Normal 3 4 2 2" xfId="1712" xr:uid="{00000000-0005-0000-0000-0000D4060000}"/>
    <cellStyle name="Normal 3 5" xfId="1713" xr:uid="{00000000-0005-0000-0000-0000D5060000}"/>
    <cellStyle name="Normal 3 5 2" xfId="1714" xr:uid="{00000000-0005-0000-0000-0000D6060000}"/>
    <cellStyle name="Normal 3 5 3" xfId="1715" xr:uid="{00000000-0005-0000-0000-0000D7060000}"/>
    <cellStyle name="Normal 3 6" xfId="1716" xr:uid="{00000000-0005-0000-0000-0000D8060000}"/>
    <cellStyle name="Normal 3 7" xfId="1717" xr:uid="{00000000-0005-0000-0000-0000D9060000}"/>
    <cellStyle name="Normal 3 8" xfId="1718" xr:uid="{00000000-0005-0000-0000-0000DA060000}"/>
    <cellStyle name="Normal 3 9" xfId="1719" xr:uid="{00000000-0005-0000-0000-0000DB060000}"/>
    <cellStyle name="Normal 4" xfId="1720" xr:uid="{00000000-0005-0000-0000-0000DC060000}"/>
    <cellStyle name="Normal 4 10" xfId="1721" xr:uid="{00000000-0005-0000-0000-0000DD060000}"/>
    <cellStyle name="Normal 4 2" xfId="1722" xr:uid="{00000000-0005-0000-0000-0000DE060000}"/>
    <cellStyle name="Normal 4 2 2" xfId="1723" xr:uid="{00000000-0005-0000-0000-0000DF060000}"/>
    <cellStyle name="Normal 4 2 2 2" xfId="1724" xr:uid="{00000000-0005-0000-0000-0000E0060000}"/>
    <cellStyle name="Normal 4 2 2 2 2" xfId="1725" xr:uid="{00000000-0005-0000-0000-0000E1060000}"/>
    <cellStyle name="Normal 4 2 2 2 2 2" xfId="1726" xr:uid="{00000000-0005-0000-0000-0000E2060000}"/>
    <cellStyle name="Normal 4 2 2 2 3" xfId="1727" xr:uid="{00000000-0005-0000-0000-0000E3060000}"/>
    <cellStyle name="Normal 4 2 2 3" xfId="1728" xr:uid="{00000000-0005-0000-0000-0000E4060000}"/>
    <cellStyle name="Normal 4 2 2 3 2" xfId="1729" xr:uid="{00000000-0005-0000-0000-0000E5060000}"/>
    <cellStyle name="Normal 4 2 2 4" xfId="1730" xr:uid="{00000000-0005-0000-0000-0000E6060000}"/>
    <cellStyle name="Normal 4 2 3" xfId="1731" xr:uid="{00000000-0005-0000-0000-0000E7060000}"/>
    <cellStyle name="Normal 4 2 3 2" xfId="1732" xr:uid="{00000000-0005-0000-0000-0000E8060000}"/>
    <cellStyle name="Normal 4 2 3 2 2" xfId="1733" xr:uid="{00000000-0005-0000-0000-0000E9060000}"/>
    <cellStyle name="Normal 4 2 3 2 2 2" xfId="1734" xr:uid="{00000000-0005-0000-0000-0000EA060000}"/>
    <cellStyle name="Normal 4 2 3 2 3" xfId="1735" xr:uid="{00000000-0005-0000-0000-0000EB060000}"/>
    <cellStyle name="Normal 4 2 3 3" xfId="1736" xr:uid="{00000000-0005-0000-0000-0000EC060000}"/>
    <cellStyle name="Normal 4 2 3 3 2" xfId="1737" xr:uid="{00000000-0005-0000-0000-0000ED060000}"/>
    <cellStyle name="Normal 4 2 3 4" xfId="1738" xr:uid="{00000000-0005-0000-0000-0000EE060000}"/>
    <cellStyle name="Normal 4 3" xfId="1739" xr:uid="{00000000-0005-0000-0000-0000EF060000}"/>
    <cellStyle name="Normal 4 3 2" xfId="1740" xr:uid="{00000000-0005-0000-0000-0000F0060000}"/>
    <cellStyle name="Normal 4 3 2 2" xfId="1741" xr:uid="{00000000-0005-0000-0000-0000F1060000}"/>
    <cellStyle name="Normal 4 4" xfId="1742" xr:uid="{00000000-0005-0000-0000-0000F2060000}"/>
    <cellStyle name="Normal 4 4 2" xfId="1743" xr:uid="{00000000-0005-0000-0000-0000F3060000}"/>
    <cellStyle name="Normal 4 5" xfId="1744" xr:uid="{00000000-0005-0000-0000-0000F4060000}"/>
    <cellStyle name="Normal 4 6" xfId="1745" xr:uid="{00000000-0005-0000-0000-0000F5060000}"/>
    <cellStyle name="Normal 4 7" xfId="1746" xr:uid="{00000000-0005-0000-0000-0000F6060000}"/>
    <cellStyle name="Normal 4 8" xfId="1747" xr:uid="{00000000-0005-0000-0000-0000F7060000}"/>
    <cellStyle name="Normal 4 9" xfId="1748" xr:uid="{00000000-0005-0000-0000-0000F8060000}"/>
    <cellStyle name="Normal 5" xfId="1749" xr:uid="{00000000-0005-0000-0000-0000F9060000}"/>
    <cellStyle name="Normal 5 10" xfId="1750" xr:uid="{00000000-0005-0000-0000-0000FA060000}"/>
    <cellStyle name="Normal 5 10 2" xfId="1751" xr:uid="{00000000-0005-0000-0000-0000FB060000}"/>
    <cellStyle name="Normal 5 11" xfId="1752" xr:uid="{00000000-0005-0000-0000-0000FC060000}"/>
    <cellStyle name="Normal 5 12" xfId="1753" xr:uid="{00000000-0005-0000-0000-0000FD060000}"/>
    <cellStyle name="Normal 5 2" xfId="1754" xr:uid="{00000000-0005-0000-0000-0000FE060000}"/>
    <cellStyle name="Normal 5 2 2" xfId="1755" xr:uid="{00000000-0005-0000-0000-0000FF060000}"/>
    <cellStyle name="Normal 5 2 2 2" xfId="1756" xr:uid="{00000000-0005-0000-0000-000000070000}"/>
    <cellStyle name="Normal 5 2 3" xfId="1757" xr:uid="{00000000-0005-0000-0000-000001070000}"/>
    <cellStyle name="Normal 5 2 4" xfId="1758" xr:uid="{00000000-0005-0000-0000-000002070000}"/>
    <cellStyle name="Normal 5 2 5" xfId="1759" xr:uid="{00000000-0005-0000-0000-000003070000}"/>
    <cellStyle name="Normal 5 2 6" xfId="1760" xr:uid="{00000000-0005-0000-0000-000004070000}"/>
    <cellStyle name="Normal 5 3" xfId="1761" xr:uid="{00000000-0005-0000-0000-000005070000}"/>
    <cellStyle name="Normal 5 3 2" xfId="1762" xr:uid="{00000000-0005-0000-0000-000006070000}"/>
    <cellStyle name="Normal 5 3 2 2" xfId="1763" xr:uid="{00000000-0005-0000-0000-000007070000}"/>
    <cellStyle name="Normal 5 4" xfId="1764" xr:uid="{00000000-0005-0000-0000-000008070000}"/>
    <cellStyle name="Normal 5 4 2" xfId="1765" xr:uid="{00000000-0005-0000-0000-000009070000}"/>
    <cellStyle name="Normal 5 5" xfId="1766" xr:uid="{00000000-0005-0000-0000-00000A070000}"/>
    <cellStyle name="Normal 5 6" xfId="1767" xr:uid="{00000000-0005-0000-0000-00000B070000}"/>
    <cellStyle name="Normal 5 7" xfId="1768" xr:uid="{00000000-0005-0000-0000-00000C070000}"/>
    <cellStyle name="Normal 5 8" xfId="1769" xr:uid="{00000000-0005-0000-0000-00000D070000}"/>
    <cellStyle name="Normal 5 8 2" xfId="1770" xr:uid="{00000000-0005-0000-0000-00000E070000}"/>
    <cellStyle name="Normal 5 9" xfId="1771" xr:uid="{00000000-0005-0000-0000-00000F070000}"/>
    <cellStyle name="Normal 5 9 2" xfId="1772" xr:uid="{00000000-0005-0000-0000-000010070000}"/>
    <cellStyle name="Normal 5 9 2 2" xfId="1773" xr:uid="{00000000-0005-0000-0000-000011070000}"/>
    <cellStyle name="Normal 5 9 3" xfId="1774" xr:uid="{00000000-0005-0000-0000-000012070000}"/>
    <cellStyle name="Normal 6" xfId="1775" xr:uid="{00000000-0005-0000-0000-000013070000}"/>
    <cellStyle name="Normal 6 2" xfId="1776" xr:uid="{00000000-0005-0000-0000-000014070000}"/>
    <cellStyle name="Normal 6 2 2" xfId="1777" xr:uid="{00000000-0005-0000-0000-000015070000}"/>
    <cellStyle name="Normal 6 2 2 2" xfId="1778" xr:uid="{00000000-0005-0000-0000-000016070000}"/>
    <cellStyle name="Normal 6 3" xfId="1779" xr:uid="{00000000-0005-0000-0000-000017070000}"/>
    <cellStyle name="Normal 6 3 2" xfId="1780" xr:uid="{00000000-0005-0000-0000-000018070000}"/>
    <cellStyle name="Normal 6 3 2 2" xfId="1781" xr:uid="{00000000-0005-0000-0000-000019070000}"/>
    <cellStyle name="Normal 6 4" xfId="1782" xr:uid="{00000000-0005-0000-0000-00001A070000}"/>
    <cellStyle name="Normal 6 5" xfId="1783" xr:uid="{00000000-0005-0000-0000-00001B070000}"/>
    <cellStyle name="Normal 6 6" xfId="1784" xr:uid="{00000000-0005-0000-0000-00001C070000}"/>
    <cellStyle name="Normal 6 7" xfId="1785" xr:uid="{00000000-0005-0000-0000-00001D070000}"/>
    <cellStyle name="Normal 7" xfId="1786" xr:uid="{00000000-0005-0000-0000-00001E070000}"/>
    <cellStyle name="Normal 7 2" xfId="1787" xr:uid="{00000000-0005-0000-0000-00001F070000}"/>
    <cellStyle name="Normal 7 2 2" xfId="1788" xr:uid="{00000000-0005-0000-0000-000020070000}"/>
    <cellStyle name="Normal 7 2 2 2" xfId="1789" xr:uid="{00000000-0005-0000-0000-000021070000}"/>
    <cellStyle name="Normal 7 3" xfId="1790" xr:uid="{00000000-0005-0000-0000-000022070000}"/>
    <cellStyle name="Normal 7 3 2" xfId="1791" xr:uid="{00000000-0005-0000-0000-000023070000}"/>
    <cellStyle name="Normal 7 3 2 2" xfId="1792" xr:uid="{00000000-0005-0000-0000-000024070000}"/>
    <cellStyle name="Normal 7 4" xfId="1793" xr:uid="{00000000-0005-0000-0000-000025070000}"/>
    <cellStyle name="Normal 7 4 2" xfId="1794" xr:uid="{00000000-0005-0000-0000-000026070000}"/>
    <cellStyle name="Normal 7 4 2 2" xfId="1795" xr:uid="{00000000-0005-0000-0000-000027070000}"/>
    <cellStyle name="Normal 7 5" xfId="1796" xr:uid="{00000000-0005-0000-0000-000028070000}"/>
    <cellStyle name="Normal 7 5 2" xfId="1797" xr:uid="{00000000-0005-0000-0000-000029070000}"/>
    <cellStyle name="Normal 7 5 2 2" xfId="1798" xr:uid="{00000000-0005-0000-0000-00002A070000}"/>
    <cellStyle name="Normal 7 6" xfId="1799" xr:uid="{00000000-0005-0000-0000-00002B070000}"/>
    <cellStyle name="Normal 8" xfId="1800" xr:uid="{00000000-0005-0000-0000-00002C070000}"/>
    <cellStyle name="Normal 8 10" xfId="1801" xr:uid="{00000000-0005-0000-0000-00002D070000}"/>
    <cellStyle name="Normal 8 11" xfId="1802" xr:uid="{00000000-0005-0000-0000-00002E070000}"/>
    <cellStyle name="Normal 8 12" xfId="1803" xr:uid="{00000000-0005-0000-0000-00002F070000}"/>
    <cellStyle name="Normal 8 13" xfId="1804" xr:uid="{00000000-0005-0000-0000-000030070000}"/>
    <cellStyle name="Normal 8 14" xfId="1805" xr:uid="{00000000-0005-0000-0000-000031070000}"/>
    <cellStyle name="Normal 8 15" xfId="1806" xr:uid="{00000000-0005-0000-0000-000032070000}"/>
    <cellStyle name="Normal 8 2" xfId="1807" xr:uid="{00000000-0005-0000-0000-000033070000}"/>
    <cellStyle name="Normal 8 2 2" xfId="1808" xr:uid="{00000000-0005-0000-0000-000034070000}"/>
    <cellStyle name="Normal 8 2 2 2" xfId="1809" xr:uid="{00000000-0005-0000-0000-000035070000}"/>
    <cellStyle name="Normal 8 2 3" xfId="1810" xr:uid="{00000000-0005-0000-0000-000036070000}"/>
    <cellStyle name="Normal 8 3" xfId="1811" xr:uid="{00000000-0005-0000-0000-000037070000}"/>
    <cellStyle name="Normal 8 3 2" xfId="1812" xr:uid="{00000000-0005-0000-0000-000038070000}"/>
    <cellStyle name="Normal 8 3 3" xfId="1813" xr:uid="{00000000-0005-0000-0000-000039070000}"/>
    <cellStyle name="Normal 8 3 4" xfId="1814" xr:uid="{00000000-0005-0000-0000-00003A070000}"/>
    <cellStyle name="Normal 8 3 5" xfId="1815" xr:uid="{00000000-0005-0000-0000-00003B070000}"/>
    <cellStyle name="Normal 8 3 6" xfId="1816" xr:uid="{00000000-0005-0000-0000-00003C070000}"/>
    <cellStyle name="Normal 8 4" xfId="1817" xr:uid="{00000000-0005-0000-0000-00003D070000}"/>
    <cellStyle name="Normal 8 4 2" xfId="1818" xr:uid="{00000000-0005-0000-0000-00003E070000}"/>
    <cellStyle name="Normal 8 4 3" xfId="1819" xr:uid="{00000000-0005-0000-0000-00003F070000}"/>
    <cellStyle name="Normal 8 4 4" xfId="1820" xr:uid="{00000000-0005-0000-0000-000040070000}"/>
    <cellStyle name="Normal 8 4 5" xfId="1821" xr:uid="{00000000-0005-0000-0000-000041070000}"/>
    <cellStyle name="Normal 8 4 6" xfId="1822" xr:uid="{00000000-0005-0000-0000-000042070000}"/>
    <cellStyle name="Normal 8 5" xfId="1823" xr:uid="{00000000-0005-0000-0000-000043070000}"/>
    <cellStyle name="Normal 8 5 2" xfId="1824" xr:uid="{00000000-0005-0000-0000-000044070000}"/>
    <cellStyle name="Normal 8 5 3" xfId="1825" xr:uid="{00000000-0005-0000-0000-000045070000}"/>
    <cellStyle name="Normal 8 5 4" xfId="1826" xr:uid="{00000000-0005-0000-0000-000046070000}"/>
    <cellStyle name="Normal 8 5 5" xfId="1827" xr:uid="{00000000-0005-0000-0000-000047070000}"/>
    <cellStyle name="Normal 8 5 6" xfId="1828" xr:uid="{00000000-0005-0000-0000-000048070000}"/>
    <cellStyle name="Normal 8 6" xfId="1829" xr:uid="{00000000-0005-0000-0000-000049070000}"/>
    <cellStyle name="Normal 8 7" xfId="1830" xr:uid="{00000000-0005-0000-0000-00004A070000}"/>
    <cellStyle name="Normal 8 8" xfId="1831" xr:uid="{00000000-0005-0000-0000-00004B070000}"/>
    <cellStyle name="Normal 8 9" xfId="1832" xr:uid="{00000000-0005-0000-0000-00004C070000}"/>
    <cellStyle name="Normal 9" xfId="1833" xr:uid="{00000000-0005-0000-0000-00004D070000}"/>
    <cellStyle name="Normal 9 10" xfId="1834" xr:uid="{00000000-0005-0000-0000-00004E070000}"/>
    <cellStyle name="Normal 9 10 2" xfId="1835" xr:uid="{00000000-0005-0000-0000-00004F070000}"/>
    <cellStyle name="Normal 9 11" xfId="1836" xr:uid="{00000000-0005-0000-0000-000050070000}"/>
    <cellStyle name="Normal 9 2" xfId="1837" xr:uid="{00000000-0005-0000-0000-000051070000}"/>
    <cellStyle name="Normal 9 2 2" xfId="1838" xr:uid="{00000000-0005-0000-0000-000052070000}"/>
    <cellStyle name="Normal 9 2 2 2" xfId="1839" xr:uid="{00000000-0005-0000-0000-000053070000}"/>
    <cellStyle name="Normal 9 2 2 2 2" xfId="1840" xr:uid="{00000000-0005-0000-0000-000054070000}"/>
    <cellStyle name="Normal 9 2 2 3" xfId="1841" xr:uid="{00000000-0005-0000-0000-000055070000}"/>
    <cellStyle name="Normal 9 2 3" xfId="1842" xr:uid="{00000000-0005-0000-0000-000056070000}"/>
    <cellStyle name="Normal 9 2 3 2" xfId="1843" xr:uid="{00000000-0005-0000-0000-000057070000}"/>
    <cellStyle name="Normal 9 2 4" xfId="1844" xr:uid="{00000000-0005-0000-0000-000058070000}"/>
    <cellStyle name="Normal 9 3" xfId="1845" xr:uid="{00000000-0005-0000-0000-000059070000}"/>
    <cellStyle name="Normal 9 3 2" xfId="1846" xr:uid="{00000000-0005-0000-0000-00005A070000}"/>
    <cellStyle name="Normal 9 3 2 2" xfId="1847" xr:uid="{00000000-0005-0000-0000-00005B070000}"/>
    <cellStyle name="Normal 9 3 2 2 2" xfId="1848" xr:uid="{00000000-0005-0000-0000-00005C070000}"/>
    <cellStyle name="Normal 9 3 2 3" xfId="1849" xr:uid="{00000000-0005-0000-0000-00005D070000}"/>
    <cellStyle name="Normal 9 3 3" xfId="1850" xr:uid="{00000000-0005-0000-0000-00005E070000}"/>
    <cellStyle name="Normal 9 3 3 2" xfId="1851" xr:uid="{00000000-0005-0000-0000-00005F070000}"/>
    <cellStyle name="Normal 9 3 4" xfId="1852" xr:uid="{00000000-0005-0000-0000-000060070000}"/>
    <cellStyle name="Normal 9 4" xfId="1853" xr:uid="{00000000-0005-0000-0000-000061070000}"/>
    <cellStyle name="Normal 9 4 2" xfId="1854" xr:uid="{00000000-0005-0000-0000-000062070000}"/>
    <cellStyle name="Normal 9 4 2 2" xfId="1855" xr:uid="{00000000-0005-0000-0000-000063070000}"/>
    <cellStyle name="Normal 9 4 2 2 2" xfId="1856" xr:uid="{00000000-0005-0000-0000-000064070000}"/>
    <cellStyle name="Normal 9 4 2 3" xfId="1857" xr:uid="{00000000-0005-0000-0000-000065070000}"/>
    <cellStyle name="Normal 9 4 3" xfId="1858" xr:uid="{00000000-0005-0000-0000-000066070000}"/>
    <cellStyle name="Normal 9 4 3 2" xfId="1859" xr:uid="{00000000-0005-0000-0000-000067070000}"/>
    <cellStyle name="Normal 9 4 4" xfId="1860" xr:uid="{00000000-0005-0000-0000-000068070000}"/>
    <cellStyle name="Normal 9 5" xfId="1861" xr:uid="{00000000-0005-0000-0000-000069070000}"/>
    <cellStyle name="Normal 9 5 2" xfId="1862" xr:uid="{00000000-0005-0000-0000-00006A070000}"/>
    <cellStyle name="Normal 9 5 2 2" xfId="1863" xr:uid="{00000000-0005-0000-0000-00006B070000}"/>
    <cellStyle name="Normal 9 5 2 2 2" xfId="1864" xr:uid="{00000000-0005-0000-0000-00006C070000}"/>
    <cellStyle name="Normal 9 5 2 3" xfId="1865" xr:uid="{00000000-0005-0000-0000-00006D070000}"/>
    <cellStyle name="Normal 9 5 3" xfId="1866" xr:uid="{00000000-0005-0000-0000-00006E070000}"/>
    <cellStyle name="Normal 9 5 3 2" xfId="1867" xr:uid="{00000000-0005-0000-0000-00006F070000}"/>
    <cellStyle name="Normal 9 5 4" xfId="1868" xr:uid="{00000000-0005-0000-0000-000070070000}"/>
    <cellStyle name="Normal 9 6" xfId="1869" xr:uid="{00000000-0005-0000-0000-000071070000}"/>
    <cellStyle name="Normal 9 6 2" xfId="1870" xr:uid="{00000000-0005-0000-0000-000072070000}"/>
    <cellStyle name="Normal 9 6 2 2" xfId="1871" xr:uid="{00000000-0005-0000-0000-000073070000}"/>
    <cellStyle name="Normal 9 6 2 2 2" xfId="1872" xr:uid="{00000000-0005-0000-0000-000074070000}"/>
    <cellStyle name="Normal 9 6 2 3" xfId="1873" xr:uid="{00000000-0005-0000-0000-000075070000}"/>
    <cellStyle name="Normal 9 6 3" xfId="1874" xr:uid="{00000000-0005-0000-0000-000076070000}"/>
    <cellStyle name="Normal 9 6 3 2" xfId="1875" xr:uid="{00000000-0005-0000-0000-000077070000}"/>
    <cellStyle name="Normal 9 6 4" xfId="1876" xr:uid="{00000000-0005-0000-0000-000078070000}"/>
    <cellStyle name="Normal 9 7" xfId="1877" xr:uid="{00000000-0005-0000-0000-000079070000}"/>
    <cellStyle name="Normal 9 7 2" xfId="1878" xr:uid="{00000000-0005-0000-0000-00007A070000}"/>
    <cellStyle name="Normal 9 7 2 2" xfId="1879" xr:uid="{00000000-0005-0000-0000-00007B070000}"/>
    <cellStyle name="Normal 9 7 2 2 2" xfId="1880" xr:uid="{00000000-0005-0000-0000-00007C070000}"/>
    <cellStyle name="Normal 9 7 2 3" xfId="1881" xr:uid="{00000000-0005-0000-0000-00007D070000}"/>
    <cellStyle name="Normal 9 7 3" xfId="1882" xr:uid="{00000000-0005-0000-0000-00007E070000}"/>
    <cellStyle name="Normal 9 7 3 2" xfId="1883" xr:uid="{00000000-0005-0000-0000-00007F070000}"/>
    <cellStyle name="Normal 9 7 4" xfId="1884" xr:uid="{00000000-0005-0000-0000-000080070000}"/>
    <cellStyle name="Normal 9 8" xfId="1885" xr:uid="{00000000-0005-0000-0000-000081070000}"/>
    <cellStyle name="Normal 9 8 2" xfId="1886" xr:uid="{00000000-0005-0000-0000-000082070000}"/>
    <cellStyle name="Normal 9 8 2 2" xfId="1887" xr:uid="{00000000-0005-0000-0000-000083070000}"/>
    <cellStyle name="Normal 9 8 2 2 2" xfId="1888" xr:uid="{00000000-0005-0000-0000-000084070000}"/>
    <cellStyle name="Normal 9 8 2 3" xfId="1889" xr:uid="{00000000-0005-0000-0000-000085070000}"/>
    <cellStyle name="Normal 9 8 3" xfId="1890" xr:uid="{00000000-0005-0000-0000-000086070000}"/>
    <cellStyle name="Normal 9 8 3 2" xfId="1891" xr:uid="{00000000-0005-0000-0000-000087070000}"/>
    <cellStyle name="Normal 9 8 4" xfId="1892" xr:uid="{00000000-0005-0000-0000-000088070000}"/>
    <cellStyle name="Normal 9 9" xfId="1893" xr:uid="{00000000-0005-0000-0000-000089070000}"/>
    <cellStyle name="Normal 9 9 2" xfId="1894" xr:uid="{00000000-0005-0000-0000-00008A070000}"/>
    <cellStyle name="Normal 9 9 2 2" xfId="1895" xr:uid="{00000000-0005-0000-0000-00008B070000}"/>
    <cellStyle name="Normal 9 9 3" xfId="1896" xr:uid="{00000000-0005-0000-0000-00008C070000}"/>
    <cellStyle name="Normál_8gradk" xfId="1897" xr:uid="{00000000-0005-0000-0000-00008D070000}"/>
    <cellStyle name="Normal_Tab_B18" xfId="2359" xr:uid="{00000000-0005-0000-0000-00008E070000}"/>
    <cellStyle name="Normal-blank" xfId="1898" xr:uid="{00000000-0005-0000-0000-00008F070000}"/>
    <cellStyle name="Normal-bottom" xfId="1899" xr:uid="{00000000-0005-0000-0000-000090070000}"/>
    <cellStyle name="Normal-center" xfId="1900" xr:uid="{00000000-0005-0000-0000-000091070000}"/>
    <cellStyle name="Normal-droit" xfId="1901" xr:uid="{00000000-0005-0000-0000-000092070000}"/>
    <cellStyle name="Normal-droite" xfId="1902" xr:uid="{00000000-0005-0000-0000-000093070000}"/>
    <cellStyle name="Normale 2" xfId="1903" xr:uid="{00000000-0005-0000-0000-000094070000}"/>
    <cellStyle name="Normale_AUS" xfId="1904" xr:uid="{00000000-0005-0000-0000-000095070000}"/>
    <cellStyle name="normální_Nove vystupy_DOPOCTENE" xfId="1905" xr:uid="{00000000-0005-0000-0000-000096070000}"/>
    <cellStyle name="Normalny 10" xfId="1906" xr:uid="{00000000-0005-0000-0000-000097070000}"/>
    <cellStyle name="Normalny 2" xfId="1907" xr:uid="{00000000-0005-0000-0000-000098070000}"/>
    <cellStyle name="Normalny 2 2" xfId="1908" xr:uid="{00000000-0005-0000-0000-000099070000}"/>
    <cellStyle name="Normalny 2 2 2" xfId="1909" xr:uid="{00000000-0005-0000-0000-00009A070000}"/>
    <cellStyle name="Normalny 2 2 2 2" xfId="1910" xr:uid="{00000000-0005-0000-0000-00009B070000}"/>
    <cellStyle name="Normalny 2 3" xfId="1911" xr:uid="{00000000-0005-0000-0000-00009C070000}"/>
    <cellStyle name="Normalny 2 3 2" xfId="1912" xr:uid="{00000000-0005-0000-0000-00009D070000}"/>
    <cellStyle name="Normalny 2 4" xfId="1913" xr:uid="{00000000-0005-0000-0000-00009E070000}"/>
    <cellStyle name="Normalny 2 4 2" xfId="1914" xr:uid="{00000000-0005-0000-0000-00009F070000}"/>
    <cellStyle name="Normalny 2 5" xfId="1915" xr:uid="{00000000-0005-0000-0000-0000A0070000}"/>
    <cellStyle name="Normalny 2 5 2" xfId="1916" xr:uid="{00000000-0005-0000-0000-0000A1070000}"/>
    <cellStyle name="Normalny 2 6" xfId="1917" xr:uid="{00000000-0005-0000-0000-0000A2070000}"/>
    <cellStyle name="Normalny 2 6 2" xfId="1918" xr:uid="{00000000-0005-0000-0000-0000A3070000}"/>
    <cellStyle name="Normalny 2 7" xfId="1919" xr:uid="{00000000-0005-0000-0000-0000A4070000}"/>
    <cellStyle name="Normalny 2 7 2" xfId="1920" xr:uid="{00000000-0005-0000-0000-0000A5070000}"/>
    <cellStyle name="Normalny 2 8" xfId="1921" xr:uid="{00000000-0005-0000-0000-0000A6070000}"/>
    <cellStyle name="Normalny 2 8 2" xfId="1922" xr:uid="{00000000-0005-0000-0000-0000A7070000}"/>
    <cellStyle name="Normalny 3" xfId="1923" xr:uid="{00000000-0005-0000-0000-0000A8070000}"/>
    <cellStyle name="Normalny 3 2" xfId="1924" xr:uid="{00000000-0005-0000-0000-0000A9070000}"/>
    <cellStyle name="Normalny 4" xfId="1925" xr:uid="{00000000-0005-0000-0000-0000AA070000}"/>
    <cellStyle name="Normalny 4 2" xfId="1926" xr:uid="{00000000-0005-0000-0000-0000AB070000}"/>
    <cellStyle name="Normalny 5" xfId="1927" xr:uid="{00000000-0005-0000-0000-0000AC070000}"/>
    <cellStyle name="Normalny 5 2" xfId="1928" xr:uid="{00000000-0005-0000-0000-0000AD070000}"/>
    <cellStyle name="Normalny 5 3" xfId="1929" xr:uid="{00000000-0005-0000-0000-0000AE070000}"/>
    <cellStyle name="Normalny 5 3 2" xfId="1930" xr:uid="{00000000-0005-0000-0000-0000AF070000}"/>
    <cellStyle name="Normalny 5 4" xfId="1931" xr:uid="{00000000-0005-0000-0000-0000B0070000}"/>
    <cellStyle name="Normalny 6" xfId="1932" xr:uid="{00000000-0005-0000-0000-0000B1070000}"/>
    <cellStyle name="Normalny 7" xfId="1933" xr:uid="{00000000-0005-0000-0000-0000B2070000}"/>
    <cellStyle name="Normalny 8" xfId="1934" xr:uid="{00000000-0005-0000-0000-0000B3070000}"/>
    <cellStyle name="Normalny 9" xfId="1935" xr:uid="{00000000-0005-0000-0000-0000B4070000}"/>
    <cellStyle name="Normalny_Dep. Rolnictwa_Rolnictwo" xfId="1936" xr:uid="{00000000-0005-0000-0000-0000B5070000}"/>
    <cellStyle name="Normal-top" xfId="1937" xr:uid="{00000000-0005-0000-0000-0000B6070000}"/>
    <cellStyle name="Note 10 2" xfId="1938" xr:uid="{00000000-0005-0000-0000-0000B7070000}"/>
    <cellStyle name="Note 10 2 2" xfId="1939" xr:uid="{00000000-0005-0000-0000-0000B8070000}"/>
    <cellStyle name="Note 10 2 2 2" xfId="2268" xr:uid="{00000000-0005-0000-0000-0000B9070000}"/>
    <cellStyle name="Note 10 3" xfId="1940" xr:uid="{00000000-0005-0000-0000-0000BA070000}"/>
    <cellStyle name="Note 10 3 2" xfId="1941" xr:uid="{00000000-0005-0000-0000-0000BB070000}"/>
    <cellStyle name="Note 10 3 2 2" xfId="2269" xr:uid="{00000000-0005-0000-0000-0000BC070000}"/>
    <cellStyle name="Note 10 4" xfId="1942" xr:uid="{00000000-0005-0000-0000-0000BD070000}"/>
    <cellStyle name="Note 10 4 2" xfId="1943" xr:uid="{00000000-0005-0000-0000-0000BE070000}"/>
    <cellStyle name="Note 10 4 2 2" xfId="2270" xr:uid="{00000000-0005-0000-0000-0000BF070000}"/>
    <cellStyle name="Note 10 5" xfId="1944" xr:uid="{00000000-0005-0000-0000-0000C0070000}"/>
    <cellStyle name="Note 10 5 2" xfId="1945" xr:uid="{00000000-0005-0000-0000-0000C1070000}"/>
    <cellStyle name="Note 10 5 2 2" xfId="2271" xr:uid="{00000000-0005-0000-0000-0000C2070000}"/>
    <cellStyle name="Note 10 6" xfId="1946" xr:uid="{00000000-0005-0000-0000-0000C3070000}"/>
    <cellStyle name="Note 10 6 2" xfId="1947" xr:uid="{00000000-0005-0000-0000-0000C4070000}"/>
    <cellStyle name="Note 10 6 2 2" xfId="2272" xr:uid="{00000000-0005-0000-0000-0000C5070000}"/>
    <cellStyle name="Note 10 7" xfId="1948" xr:uid="{00000000-0005-0000-0000-0000C6070000}"/>
    <cellStyle name="Note 10 7 2" xfId="1949" xr:uid="{00000000-0005-0000-0000-0000C7070000}"/>
    <cellStyle name="Note 10 7 2 2" xfId="2273" xr:uid="{00000000-0005-0000-0000-0000C8070000}"/>
    <cellStyle name="Note 11 2" xfId="1950" xr:uid="{00000000-0005-0000-0000-0000C9070000}"/>
    <cellStyle name="Note 11 2 2" xfId="1951" xr:uid="{00000000-0005-0000-0000-0000CA070000}"/>
    <cellStyle name="Note 11 2 2 2" xfId="2274" xr:uid="{00000000-0005-0000-0000-0000CB070000}"/>
    <cellStyle name="Note 11 3" xfId="1952" xr:uid="{00000000-0005-0000-0000-0000CC070000}"/>
    <cellStyle name="Note 11 3 2" xfId="1953" xr:uid="{00000000-0005-0000-0000-0000CD070000}"/>
    <cellStyle name="Note 11 3 2 2" xfId="2275" xr:uid="{00000000-0005-0000-0000-0000CE070000}"/>
    <cellStyle name="Note 11 4" xfId="1954" xr:uid="{00000000-0005-0000-0000-0000CF070000}"/>
    <cellStyle name="Note 11 4 2" xfId="1955" xr:uid="{00000000-0005-0000-0000-0000D0070000}"/>
    <cellStyle name="Note 11 4 2 2" xfId="2276" xr:uid="{00000000-0005-0000-0000-0000D1070000}"/>
    <cellStyle name="Note 11 5" xfId="1956" xr:uid="{00000000-0005-0000-0000-0000D2070000}"/>
    <cellStyle name="Note 11 5 2" xfId="1957" xr:uid="{00000000-0005-0000-0000-0000D3070000}"/>
    <cellStyle name="Note 11 5 2 2" xfId="2277" xr:uid="{00000000-0005-0000-0000-0000D4070000}"/>
    <cellStyle name="Note 11 6" xfId="1958" xr:uid="{00000000-0005-0000-0000-0000D5070000}"/>
    <cellStyle name="Note 11 6 2" xfId="1959" xr:uid="{00000000-0005-0000-0000-0000D6070000}"/>
    <cellStyle name="Note 11 6 2 2" xfId="2278" xr:uid="{00000000-0005-0000-0000-0000D7070000}"/>
    <cellStyle name="Note 12 2" xfId="1960" xr:uid="{00000000-0005-0000-0000-0000D8070000}"/>
    <cellStyle name="Note 12 2 2" xfId="1961" xr:uid="{00000000-0005-0000-0000-0000D9070000}"/>
    <cellStyle name="Note 12 2 2 2" xfId="2279" xr:uid="{00000000-0005-0000-0000-0000DA070000}"/>
    <cellStyle name="Note 12 3" xfId="1962" xr:uid="{00000000-0005-0000-0000-0000DB070000}"/>
    <cellStyle name="Note 12 3 2" xfId="1963" xr:uid="{00000000-0005-0000-0000-0000DC070000}"/>
    <cellStyle name="Note 12 3 2 2" xfId="2280" xr:uid="{00000000-0005-0000-0000-0000DD070000}"/>
    <cellStyle name="Note 12 4" xfId="1964" xr:uid="{00000000-0005-0000-0000-0000DE070000}"/>
    <cellStyle name="Note 12 4 2" xfId="1965" xr:uid="{00000000-0005-0000-0000-0000DF070000}"/>
    <cellStyle name="Note 12 4 2 2" xfId="2281" xr:uid="{00000000-0005-0000-0000-0000E0070000}"/>
    <cellStyle name="Note 12 5" xfId="1966" xr:uid="{00000000-0005-0000-0000-0000E1070000}"/>
    <cellStyle name="Note 12 5 2" xfId="1967" xr:uid="{00000000-0005-0000-0000-0000E2070000}"/>
    <cellStyle name="Note 12 5 2 2" xfId="2282" xr:uid="{00000000-0005-0000-0000-0000E3070000}"/>
    <cellStyle name="Note 13 2" xfId="1968" xr:uid="{00000000-0005-0000-0000-0000E4070000}"/>
    <cellStyle name="Note 13 2 2" xfId="1969" xr:uid="{00000000-0005-0000-0000-0000E5070000}"/>
    <cellStyle name="Note 13 2 2 2" xfId="2283" xr:uid="{00000000-0005-0000-0000-0000E6070000}"/>
    <cellStyle name="Note 14 2" xfId="1970" xr:uid="{00000000-0005-0000-0000-0000E7070000}"/>
    <cellStyle name="Note 14 2 2" xfId="1971" xr:uid="{00000000-0005-0000-0000-0000E8070000}"/>
    <cellStyle name="Note 14 2 2 2" xfId="2284" xr:uid="{00000000-0005-0000-0000-0000E9070000}"/>
    <cellStyle name="Note 15 2" xfId="1972" xr:uid="{00000000-0005-0000-0000-0000EA070000}"/>
    <cellStyle name="Note 15 2 2" xfId="1973" xr:uid="{00000000-0005-0000-0000-0000EB070000}"/>
    <cellStyle name="Note 15 2 2 2" xfId="2285" xr:uid="{00000000-0005-0000-0000-0000EC070000}"/>
    <cellStyle name="Note 2" xfId="1974" xr:uid="{00000000-0005-0000-0000-0000ED070000}"/>
    <cellStyle name="Note 2 2" xfId="1975" xr:uid="{00000000-0005-0000-0000-0000EE070000}"/>
    <cellStyle name="Note 2 2 2" xfId="1976" xr:uid="{00000000-0005-0000-0000-0000EF070000}"/>
    <cellStyle name="Note 2 2 2 2" xfId="2286" xr:uid="{00000000-0005-0000-0000-0000F0070000}"/>
    <cellStyle name="Note 2 3" xfId="1977" xr:uid="{00000000-0005-0000-0000-0000F1070000}"/>
    <cellStyle name="Note 2 3 2" xfId="1978" xr:uid="{00000000-0005-0000-0000-0000F2070000}"/>
    <cellStyle name="Note 2 3 2 2" xfId="2287" xr:uid="{00000000-0005-0000-0000-0000F3070000}"/>
    <cellStyle name="Note 2 4" xfId="1979" xr:uid="{00000000-0005-0000-0000-0000F4070000}"/>
    <cellStyle name="Note 2 4 2" xfId="1980" xr:uid="{00000000-0005-0000-0000-0000F5070000}"/>
    <cellStyle name="Note 2 4 2 2" xfId="2288" xr:uid="{00000000-0005-0000-0000-0000F6070000}"/>
    <cellStyle name="Note 2 5" xfId="1981" xr:uid="{00000000-0005-0000-0000-0000F7070000}"/>
    <cellStyle name="Note 2 5 2" xfId="1982" xr:uid="{00000000-0005-0000-0000-0000F8070000}"/>
    <cellStyle name="Note 2 5 2 2" xfId="2289" xr:uid="{00000000-0005-0000-0000-0000F9070000}"/>
    <cellStyle name="Note 2 6" xfId="1983" xr:uid="{00000000-0005-0000-0000-0000FA070000}"/>
    <cellStyle name="Note 2 6 2" xfId="1984" xr:uid="{00000000-0005-0000-0000-0000FB070000}"/>
    <cellStyle name="Note 2 6 2 2" xfId="2290" xr:uid="{00000000-0005-0000-0000-0000FC070000}"/>
    <cellStyle name="Note 2 7" xfId="1985" xr:uid="{00000000-0005-0000-0000-0000FD070000}"/>
    <cellStyle name="Note 2 7 2" xfId="1986" xr:uid="{00000000-0005-0000-0000-0000FE070000}"/>
    <cellStyle name="Note 2 7 2 2" xfId="2291" xr:uid="{00000000-0005-0000-0000-0000FF070000}"/>
    <cellStyle name="Note 2 8" xfId="1987" xr:uid="{00000000-0005-0000-0000-000000080000}"/>
    <cellStyle name="Note 2 8 2" xfId="1988" xr:uid="{00000000-0005-0000-0000-000001080000}"/>
    <cellStyle name="Note 2 8 2 2" xfId="2292" xr:uid="{00000000-0005-0000-0000-000002080000}"/>
    <cellStyle name="Note 3" xfId="1989" xr:uid="{00000000-0005-0000-0000-000003080000}"/>
    <cellStyle name="Note 3 2" xfId="1990" xr:uid="{00000000-0005-0000-0000-000004080000}"/>
    <cellStyle name="Note 3 2 2" xfId="1991" xr:uid="{00000000-0005-0000-0000-000005080000}"/>
    <cellStyle name="Note 3 2 2 2" xfId="2293" xr:uid="{00000000-0005-0000-0000-000006080000}"/>
    <cellStyle name="Note 3 3" xfId="1992" xr:uid="{00000000-0005-0000-0000-000007080000}"/>
    <cellStyle name="Note 3 3 2" xfId="1993" xr:uid="{00000000-0005-0000-0000-000008080000}"/>
    <cellStyle name="Note 3 3 2 2" xfId="2294" xr:uid="{00000000-0005-0000-0000-000009080000}"/>
    <cellStyle name="Note 3 4" xfId="1994" xr:uid="{00000000-0005-0000-0000-00000A080000}"/>
    <cellStyle name="Note 3 4 2" xfId="1995" xr:uid="{00000000-0005-0000-0000-00000B080000}"/>
    <cellStyle name="Note 3 4 2 2" xfId="2295" xr:uid="{00000000-0005-0000-0000-00000C080000}"/>
    <cellStyle name="Note 3 5" xfId="1996" xr:uid="{00000000-0005-0000-0000-00000D080000}"/>
    <cellStyle name="Note 3 5 2" xfId="1997" xr:uid="{00000000-0005-0000-0000-00000E080000}"/>
    <cellStyle name="Note 3 5 2 2" xfId="2296" xr:uid="{00000000-0005-0000-0000-00000F080000}"/>
    <cellStyle name="Note 3 6" xfId="1998" xr:uid="{00000000-0005-0000-0000-000010080000}"/>
    <cellStyle name="Note 3 6 2" xfId="1999" xr:uid="{00000000-0005-0000-0000-000011080000}"/>
    <cellStyle name="Note 3 6 2 2" xfId="2297" xr:uid="{00000000-0005-0000-0000-000012080000}"/>
    <cellStyle name="Note 3 7" xfId="2000" xr:uid="{00000000-0005-0000-0000-000013080000}"/>
    <cellStyle name="Note 3 7 2" xfId="2001" xr:uid="{00000000-0005-0000-0000-000014080000}"/>
    <cellStyle name="Note 3 7 2 2" xfId="2298" xr:uid="{00000000-0005-0000-0000-000015080000}"/>
    <cellStyle name="Note 3 8" xfId="2002" xr:uid="{00000000-0005-0000-0000-000016080000}"/>
    <cellStyle name="Note 3 8 2" xfId="2003" xr:uid="{00000000-0005-0000-0000-000017080000}"/>
    <cellStyle name="Note 3 8 2 2" xfId="2299" xr:uid="{00000000-0005-0000-0000-000018080000}"/>
    <cellStyle name="Note 4" xfId="2004" xr:uid="{00000000-0005-0000-0000-000019080000}"/>
    <cellStyle name="Note 4 2" xfId="2005" xr:uid="{00000000-0005-0000-0000-00001A080000}"/>
    <cellStyle name="Note 4 2 2" xfId="2006" xr:uid="{00000000-0005-0000-0000-00001B080000}"/>
    <cellStyle name="Note 4 2 2 2" xfId="2300" xr:uid="{00000000-0005-0000-0000-00001C080000}"/>
    <cellStyle name="Note 4 3" xfId="2007" xr:uid="{00000000-0005-0000-0000-00001D080000}"/>
    <cellStyle name="Note 4 3 2" xfId="2008" xr:uid="{00000000-0005-0000-0000-00001E080000}"/>
    <cellStyle name="Note 4 3 2 2" xfId="2301" xr:uid="{00000000-0005-0000-0000-00001F080000}"/>
    <cellStyle name="Note 4 4" xfId="2009" xr:uid="{00000000-0005-0000-0000-000020080000}"/>
    <cellStyle name="Note 4 4 2" xfId="2010" xr:uid="{00000000-0005-0000-0000-000021080000}"/>
    <cellStyle name="Note 4 4 2 2" xfId="2302" xr:uid="{00000000-0005-0000-0000-000022080000}"/>
    <cellStyle name="Note 4 5" xfId="2011" xr:uid="{00000000-0005-0000-0000-000023080000}"/>
    <cellStyle name="Note 4 5 2" xfId="2012" xr:uid="{00000000-0005-0000-0000-000024080000}"/>
    <cellStyle name="Note 4 5 2 2" xfId="2303" xr:uid="{00000000-0005-0000-0000-000025080000}"/>
    <cellStyle name="Note 4 6" xfId="2013" xr:uid="{00000000-0005-0000-0000-000026080000}"/>
    <cellStyle name="Note 4 6 2" xfId="2014" xr:uid="{00000000-0005-0000-0000-000027080000}"/>
    <cellStyle name="Note 4 6 2 2" xfId="2304" xr:uid="{00000000-0005-0000-0000-000028080000}"/>
    <cellStyle name="Note 4 7" xfId="2015" xr:uid="{00000000-0005-0000-0000-000029080000}"/>
    <cellStyle name="Note 4 7 2" xfId="2016" xr:uid="{00000000-0005-0000-0000-00002A080000}"/>
    <cellStyle name="Note 4 7 2 2" xfId="2305" xr:uid="{00000000-0005-0000-0000-00002B080000}"/>
    <cellStyle name="Note 4 8" xfId="2017" xr:uid="{00000000-0005-0000-0000-00002C080000}"/>
    <cellStyle name="Note 4 8 2" xfId="2018" xr:uid="{00000000-0005-0000-0000-00002D080000}"/>
    <cellStyle name="Note 4 8 2 2" xfId="2306" xr:uid="{00000000-0005-0000-0000-00002E080000}"/>
    <cellStyle name="Note 5" xfId="2019" xr:uid="{00000000-0005-0000-0000-00002F080000}"/>
    <cellStyle name="Note 5 2" xfId="2020" xr:uid="{00000000-0005-0000-0000-000030080000}"/>
    <cellStyle name="Note 5 2 2" xfId="2021" xr:uid="{00000000-0005-0000-0000-000031080000}"/>
    <cellStyle name="Note 5 2 2 2" xfId="2307" xr:uid="{00000000-0005-0000-0000-000032080000}"/>
    <cellStyle name="Note 5 3" xfId="2022" xr:uid="{00000000-0005-0000-0000-000033080000}"/>
    <cellStyle name="Note 5 3 2" xfId="2023" xr:uid="{00000000-0005-0000-0000-000034080000}"/>
    <cellStyle name="Note 5 3 2 2" xfId="2308" xr:uid="{00000000-0005-0000-0000-000035080000}"/>
    <cellStyle name="Note 5 4" xfId="2024" xr:uid="{00000000-0005-0000-0000-000036080000}"/>
    <cellStyle name="Note 5 4 2" xfId="2025" xr:uid="{00000000-0005-0000-0000-000037080000}"/>
    <cellStyle name="Note 5 4 2 2" xfId="2309" xr:uid="{00000000-0005-0000-0000-000038080000}"/>
    <cellStyle name="Note 5 5" xfId="2026" xr:uid="{00000000-0005-0000-0000-000039080000}"/>
    <cellStyle name="Note 5 5 2" xfId="2027" xr:uid="{00000000-0005-0000-0000-00003A080000}"/>
    <cellStyle name="Note 5 5 2 2" xfId="2310" xr:uid="{00000000-0005-0000-0000-00003B080000}"/>
    <cellStyle name="Note 5 6" xfId="2028" xr:uid="{00000000-0005-0000-0000-00003C080000}"/>
    <cellStyle name="Note 5 6 2" xfId="2029" xr:uid="{00000000-0005-0000-0000-00003D080000}"/>
    <cellStyle name="Note 5 6 2 2" xfId="2311" xr:uid="{00000000-0005-0000-0000-00003E080000}"/>
    <cellStyle name="Note 5 7" xfId="2030" xr:uid="{00000000-0005-0000-0000-00003F080000}"/>
    <cellStyle name="Note 5 7 2" xfId="2031" xr:uid="{00000000-0005-0000-0000-000040080000}"/>
    <cellStyle name="Note 5 7 2 2" xfId="2312" xr:uid="{00000000-0005-0000-0000-000041080000}"/>
    <cellStyle name="Note 5 8" xfId="2032" xr:uid="{00000000-0005-0000-0000-000042080000}"/>
    <cellStyle name="Note 5 8 2" xfId="2033" xr:uid="{00000000-0005-0000-0000-000043080000}"/>
    <cellStyle name="Note 5 8 2 2" xfId="2313" xr:uid="{00000000-0005-0000-0000-000044080000}"/>
    <cellStyle name="Note 6 2" xfId="2034" xr:uid="{00000000-0005-0000-0000-000045080000}"/>
    <cellStyle name="Note 6 2 2" xfId="2035" xr:uid="{00000000-0005-0000-0000-000046080000}"/>
    <cellStyle name="Note 6 2 2 2" xfId="2314" xr:uid="{00000000-0005-0000-0000-000047080000}"/>
    <cellStyle name="Note 6 3" xfId="2036" xr:uid="{00000000-0005-0000-0000-000048080000}"/>
    <cellStyle name="Note 6 3 2" xfId="2037" xr:uid="{00000000-0005-0000-0000-000049080000}"/>
    <cellStyle name="Note 6 3 2 2" xfId="2315" xr:uid="{00000000-0005-0000-0000-00004A080000}"/>
    <cellStyle name="Note 6 4" xfId="2038" xr:uid="{00000000-0005-0000-0000-00004B080000}"/>
    <cellStyle name="Note 6 4 2" xfId="2039" xr:uid="{00000000-0005-0000-0000-00004C080000}"/>
    <cellStyle name="Note 6 4 2 2" xfId="2316" xr:uid="{00000000-0005-0000-0000-00004D080000}"/>
    <cellStyle name="Note 6 5" xfId="2040" xr:uid="{00000000-0005-0000-0000-00004E080000}"/>
    <cellStyle name="Note 6 5 2" xfId="2041" xr:uid="{00000000-0005-0000-0000-00004F080000}"/>
    <cellStyle name="Note 6 5 2 2" xfId="2317" xr:uid="{00000000-0005-0000-0000-000050080000}"/>
    <cellStyle name="Note 6 6" xfId="2042" xr:uid="{00000000-0005-0000-0000-000051080000}"/>
    <cellStyle name="Note 6 6 2" xfId="2043" xr:uid="{00000000-0005-0000-0000-000052080000}"/>
    <cellStyle name="Note 6 6 2 2" xfId="2318" xr:uid="{00000000-0005-0000-0000-000053080000}"/>
    <cellStyle name="Note 6 7" xfId="2044" xr:uid="{00000000-0005-0000-0000-000054080000}"/>
    <cellStyle name="Note 6 7 2" xfId="2045" xr:uid="{00000000-0005-0000-0000-000055080000}"/>
    <cellStyle name="Note 6 7 2 2" xfId="2319" xr:uid="{00000000-0005-0000-0000-000056080000}"/>
    <cellStyle name="Note 6 8" xfId="2046" xr:uid="{00000000-0005-0000-0000-000057080000}"/>
    <cellStyle name="Note 6 8 2" xfId="2047" xr:uid="{00000000-0005-0000-0000-000058080000}"/>
    <cellStyle name="Note 6 8 2 2" xfId="2320" xr:uid="{00000000-0005-0000-0000-000059080000}"/>
    <cellStyle name="Note 7 2" xfId="2048" xr:uid="{00000000-0005-0000-0000-00005A080000}"/>
    <cellStyle name="Note 7 2 2" xfId="2049" xr:uid="{00000000-0005-0000-0000-00005B080000}"/>
    <cellStyle name="Note 7 2 2 2" xfId="2321" xr:uid="{00000000-0005-0000-0000-00005C080000}"/>
    <cellStyle name="Note 7 3" xfId="2050" xr:uid="{00000000-0005-0000-0000-00005D080000}"/>
    <cellStyle name="Note 7 3 2" xfId="2051" xr:uid="{00000000-0005-0000-0000-00005E080000}"/>
    <cellStyle name="Note 7 3 2 2" xfId="2322" xr:uid="{00000000-0005-0000-0000-00005F080000}"/>
    <cellStyle name="Note 7 4" xfId="2052" xr:uid="{00000000-0005-0000-0000-000060080000}"/>
    <cellStyle name="Note 7 4 2" xfId="2053" xr:uid="{00000000-0005-0000-0000-000061080000}"/>
    <cellStyle name="Note 7 4 2 2" xfId="2323" xr:uid="{00000000-0005-0000-0000-000062080000}"/>
    <cellStyle name="Note 7 5" xfId="2054" xr:uid="{00000000-0005-0000-0000-000063080000}"/>
    <cellStyle name="Note 7 5 2" xfId="2055" xr:uid="{00000000-0005-0000-0000-000064080000}"/>
    <cellStyle name="Note 7 5 2 2" xfId="2324" xr:uid="{00000000-0005-0000-0000-000065080000}"/>
    <cellStyle name="Note 7 6" xfId="2056" xr:uid="{00000000-0005-0000-0000-000066080000}"/>
    <cellStyle name="Note 7 6 2" xfId="2057" xr:uid="{00000000-0005-0000-0000-000067080000}"/>
    <cellStyle name="Note 7 6 2 2" xfId="2325" xr:uid="{00000000-0005-0000-0000-000068080000}"/>
    <cellStyle name="Note 7 7" xfId="2058" xr:uid="{00000000-0005-0000-0000-000069080000}"/>
    <cellStyle name="Note 7 7 2" xfId="2059" xr:uid="{00000000-0005-0000-0000-00006A080000}"/>
    <cellStyle name="Note 7 7 2 2" xfId="2326" xr:uid="{00000000-0005-0000-0000-00006B080000}"/>
    <cellStyle name="Note 7 8" xfId="2060" xr:uid="{00000000-0005-0000-0000-00006C080000}"/>
    <cellStyle name="Note 7 8 2" xfId="2061" xr:uid="{00000000-0005-0000-0000-00006D080000}"/>
    <cellStyle name="Note 7 8 2 2" xfId="2327" xr:uid="{00000000-0005-0000-0000-00006E080000}"/>
    <cellStyle name="Note 8 2" xfId="2062" xr:uid="{00000000-0005-0000-0000-00006F080000}"/>
    <cellStyle name="Note 8 2 2" xfId="2063" xr:uid="{00000000-0005-0000-0000-000070080000}"/>
    <cellStyle name="Note 8 2 2 2" xfId="2328" xr:uid="{00000000-0005-0000-0000-000071080000}"/>
    <cellStyle name="Note 8 3" xfId="2064" xr:uid="{00000000-0005-0000-0000-000072080000}"/>
    <cellStyle name="Note 8 3 2" xfId="2065" xr:uid="{00000000-0005-0000-0000-000073080000}"/>
    <cellStyle name="Note 8 3 2 2" xfId="2329" xr:uid="{00000000-0005-0000-0000-000074080000}"/>
    <cellStyle name="Note 8 4" xfId="2066" xr:uid="{00000000-0005-0000-0000-000075080000}"/>
    <cellStyle name="Note 8 4 2" xfId="2067" xr:uid="{00000000-0005-0000-0000-000076080000}"/>
    <cellStyle name="Note 8 4 2 2" xfId="2330" xr:uid="{00000000-0005-0000-0000-000077080000}"/>
    <cellStyle name="Note 8 5" xfId="2068" xr:uid="{00000000-0005-0000-0000-000078080000}"/>
    <cellStyle name="Note 8 5 2" xfId="2069" xr:uid="{00000000-0005-0000-0000-000079080000}"/>
    <cellStyle name="Note 8 5 2 2" xfId="2331" xr:uid="{00000000-0005-0000-0000-00007A080000}"/>
    <cellStyle name="Note 8 6" xfId="2070" xr:uid="{00000000-0005-0000-0000-00007B080000}"/>
    <cellStyle name="Note 8 6 2" xfId="2071" xr:uid="{00000000-0005-0000-0000-00007C080000}"/>
    <cellStyle name="Note 8 6 2 2" xfId="2332" xr:uid="{00000000-0005-0000-0000-00007D080000}"/>
    <cellStyle name="Note 8 7" xfId="2072" xr:uid="{00000000-0005-0000-0000-00007E080000}"/>
    <cellStyle name="Note 8 7 2" xfId="2073" xr:uid="{00000000-0005-0000-0000-00007F080000}"/>
    <cellStyle name="Note 8 7 2 2" xfId="2333" xr:uid="{00000000-0005-0000-0000-000080080000}"/>
    <cellStyle name="Note 8 8" xfId="2074" xr:uid="{00000000-0005-0000-0000-000081080000}"/>
    <cellStyle name="Note 8 8 2" xfId="2075" xr:uid="{00000000-0005-0000-0000-000082080000}"/>
    <cellStyle name="Note 8 8 2 2" xfId="2334" xr:uid="{00000000-0005-0000-0000-000083080000}"/>
    <cellStyle name="Note 9 2" xfId="2076" xr:uid="{00000000-0005-0000-0000-000084080000}"/>
    <cellStyle name="Note 9 2 2" xfId="2077" xr:uid="{00000000-0005-0000-0000-000085080000}"/>
    <cellStyle name="Note 9 2 2 2" xfId="2335" xr:uid="{00000000-0005-0000-0000-000086080000}"/>
    <cellStyle name="Note 9 3" xfId="2078" xr:uid="{00000000-0005-0000-0000-000087080000}"/>
    <cellStyle name="Note 9 3 2" xfId="2079" xr:uid="{00000000-0005-0000-0000-000088080000}"/>
    <cellStyle name="Note 9 3 2 2" xfId="2336" xr:uid="{00000000-0005-0000-0000-000089080000}"/>
    <cellStyle name="Note 9 4" xfId="2080" xr:uid="{00000000-0005-0000-0000-00008A080000}"/>
    <cellStyle name="Note 9 4 2" xfId="2081" xr:uid="{00000000-0005-0000-0000-00008B080000}"/>
    <cellStyle name="Note 9 4 2 2" xfId="2337" xr:uid="{00000000-0005-0000-0000-00008C080000}"/>
    <cellStyle name="Note 9 5" xfId="2082" xr:uid="{00000000-0005-0000-0000-00008D080000}"/>
    <cellStyle name="Note 9 5 2" xfId="2083" xr:uid="{00000000-0005-0000-0000-00008E080000}"/>
    <cellStyle name="Note 9 5 2 2" xfId="2338" xr:uid="{00000000-0005-0000-0000-00008F080000}"/>
    <cellStyle name="Note 9 6" xfId="2084" xr:uid="{00000000-0005-0000-0000-000090080000}"/>
    <cellStyle name="Note 9 6 2" xfId="2085" xr:uid="{00000000-0005-0000-0000-000091080000}"/>
    <cellStyle name="Note 9 6 2 2" xfId="2339" xr:uid="{00000000-0005-0000-0000-000092080000}"/>
    <cellStyle name="Note 9 7" xfId="2086" xr:uid="{00000000-0005-0000-0000-000093080000}"/>
    <cellStyle name="Note 9 7 2" xfId="2087" xr:uid="{00000000-0005-0000-0000-000094080000}"/>
    <cellStyle name="Note 9 7 2 2" xfId="2340" xr:uid="{00000000-0005-0000-0000-000095080000}"/>
    <cellStyle name="Note 9 8" xfId="2088" xr:uid="{00000000-0005-0000-0000-000096080000}"/>
    <cellStyle name="Note 9 8 2" xfId="2089" xr:uid="{00000000-0005-0000-0000-000097080000}"/>
    <cellStyle name="Note 9 8 2 2" xfId="2341" xr:uid="{00000000-0005-0000-0000-000098080000}"/>
    <cellStyle name="notes" xfId="2090" xr:uid="{00000000-0005-0000-0000-000099080000}"/>
    <cellStyle name="P" xfId="2091" xr:uid="{00000000-0005-0000-0000-00009A080000}"/>
    <cellStyle name="Percent [2]" xfId="2092" xr:uid="{00000000-0005-0000-0000-00009B080000}"/>
    <cellStyle name="Percent 2" xfId="2093" xr:uid="{00000000-0005-0000-0000-00009C080000}"/>
    <cellStyle name="Percent 2 2" xfId="2094" xr:uid="{00000000-0005-0000-0000-00009D080000}"/>
    <cellStyle name="Percent 2 3" xfId="2095" xr:uid="{00000000-0005-0000-0000-00009E080000}"/>
    <cellStyle name="Percent 3" xfId="2096" xr:uid="{00000000-0005-0000-0000-00009F080000}"/>
    <cellStyle name="Percent 3 2" xfId="2097" xr:uid="{00000000-0005-0000-0000-0000A0080000}"/>
    <cellStyle name="Percent 4" xfId="2098" xr:uid="{00000000-0005-0000-0000-0000A1080000}"/>
    <cellStyle name="Percentuale 2" xfId="2099" xr:uid="{00000000-0005-0000-0000-0000A2080000}"/>
    <cellStyle name="Procentowy 3" xfId="2100" xr:uid="{00000000-0005-0000-0000-0000A3080000}"/>
    <cellStyle name="Procentowy 8" xfId="2101" xr:uid="{00000000-0005-0000-0000-0000A4080000}"/>
    <cellStyle name="Prozent_Mappe1" xfId="2102" xr:uid="{00000000-0005-0000-0000-0000A5080000}"/>
    <cellStyle name="row" xfId="2103" xr:uid="{00000000-0005-0000-0000-0000A6080000}"/>
    <cellStyle name="row 10" xfId="2342" xr:uid="{00000000-0005-0000-0000-0000A7080000}"/>
    <cellStyle name="row 2" xfId="2104" xr:uid="{00000000-0005-0000-0000-0000A8080000}"/>
    <cellStyle name="row 2 2" xfId="2343" xr:uid="{00000000-0005-0000-0000-0000A9080000}"/>
    <cellStyle name="row 3" xfId="2105" xr:uid="{00000000-0005-0000-0000-0000AA080000}"/>
    <cellStyle name="row 3 2" xfId="2344" xr:uid="{00000000-0005-0000-0000-0000AB080000}"/>
    <cellStyle name="row 4" xfId="2106" xr:uid="{00000000-0005-0000-0000-0000AC080000}"/>
    <cellStyle name="row 4 2" xfId="2345" xr:uid="{00000000-0005-0000-0000-0000AD080000}"/>
    <cellStyle name="row 5" xfId="2107" xr:uid="{00000000-0005-0000-0000-0000AE080000}"/>
    <cellStyle name="row 5 2" xfId="2346" xr:uid="{00000000-0005-0000-0000-0000AF080000}"/>
    <cellStyle name="row 6" xfId="2108" xr:uid="{00000000-0005-0000-0000-0000B0080000}"/>
    <cellStyle name="row 6 2" xfId="2347" xr:uid="{00000000-0005-0000-0000-0000B1080000}"/>
    <cellStyle name="row 7" xfId="2109" xr:uid="{00000000-0005-0000-0000-0000B2080000}"/>
    <cellStyle name="row 7 2" xfId="2348" xr:uid="{00000000-0005-0000-0000-0000B3080000}"/>
    <cellStyle name="row 8" xfId="2110" xr:uid="{00000000-0005-0000-0000-0000B4080000}"/>
    <cellStyle name="row 8 2" xfId="2349" xr:uid="{00000000-0005-0000-0000-0000B5080000}"/>
    <cellStyle name="row 9" xfId="2111" xr:uid="{00000000-0005-0000-0000-0000B6080000}"/>
    <cellStyle name="row 9 2" xfId="2350" xr:uid="{00000000-0005-0000-0000-0000B7080000}"/>
    <cellStyle name="RowCodes" xfId="2112" xr:uid="{00000000-0005-0000-0000-0000B8080000}"/>
    <cellStyle name="Row-Col Headings" xfId="2113" xr:uid="{00000000-0005-0000-0000-0000B9080000}"/>
    <cellStyle name="RowTitles" xfId="2114" xr:uid="{00000000-0005-0000-0000-0000BA080000}"/>
    <cellStyle name="RowTitles 2" xfId="2351" xr:uid="{00000000-0005-0000-0000-0000BB080000}"/>
    <cellStyle name="RowTitles1-Detail" xfId="2115" xr:uid="{00000000-0005-0000-0000-0000BC080000}"/>
    <cellStyle name="RowTitles1-Detail 2" xfId="2352" xr:uid="{00000000-0005-0000-0000-0000BD080000}"/>
    <cellStyle name="RowTitles-Col2" xfId="2116" xr:uid="{00000000-0005-0000-0000-0000BE080000}"/>
    <cellStyle name="RowTitles-Col2 2" xfId="2353" xr:uid="{00000000-0005-0000-0000-0000BF080000}"/>
    <cellStyle name="RowTitles-Detail" xfId="2117" xr:uid="{00000000-0005-0000-0000-0000C0080000}"/>
    <cellStyle name="RowTitles-Detail 2" xfId="2354" xr:uid="{00000000-0005-0000-0000-0000C1080000}"/>
    <cellStyle name="Satisfaisant" xfId="2118" xr:uid="{00000000-0005-0000-0000-0000C2080000}"/>
    <cellStyle name="Sbold" xfId="2119" xr:uid="{00000000-0005-0000-0000-0000C3080000}"/>
    <cellStyle name="semestre" xfId="2120" xr:uid="{00000000-0005-0000-0000-0000C4080000}"/>
    <cellStyle name="Snorm" xfId="2121" xr:uid="{00000000-0005-0000-0000-0000C5080000}"/>
    <cellStyle name="socxn" xfId="2122" xr:uid="{00000000-0005-0000-0000-0000C6080000}"/>
    <cellStyle name="Sortie" xfId="2123" xr:uid="{00000000-0005-0000-0000-0000C7080000}"/>
    <cellStyle name="Sortie 2" xfId="2355" xr:uid="{00000000-0005-0000-0000-0000C8080000}"/>
    <cellStyle name="ss1" xfId="2124" xr:uid="{00000000-0005-0000-0000-0000C9080000}"/>
    <cellStyle name="ss1 2" xfId="2125" xr:uid="{00000000-0005-0000-0000-0000CA080000}"/>
    <cellStyle name="ss1 2 2" xfId="2126" xr:uid="{00000000-0005-0000-0000-0000CB080000}"/>
    <cellStyle name="ss1 2 2 2" xfId="2127" xr:uid="{00000000-0005-0000-0000-0000CC080000}"/>
    <cellStyle name="ss1 2 3" xfId="2128" xr:uid="{00000000-0005-0000-0000-0000CD080000}"/>
    <cellStyle name="ss1 3" xfId="2129" xr:uid="{00000000-0005-0000-0000-0000CE080000}"/>
    <cellStyle name="ss1 3 2" xfId="2130" xr:uid="{00000000-0005-0000-0000-0000CF080000}"/>
    <cellStyle name="ss1 4" xfId="2131" xr:uid="{00000000-0005-0000-0000-0000D0080000}"/>
    <cellStyle name="ss1 4 2" xfId="2132" xr:uid="{00000000-0005-0000-0000-0000D1080000}"/>
    <cellStyle name="ss1 5" xfId="2133" xr:uid="{00000000-0005-0000-0000-0000D2080000}"/>
    <cellStyle name="ss10" xfId="2134" xr:uid="{00000000-0005-0000-0000-0000D3080000}"/>
    <cellStyle name="ss11" xfId="2135" xr:uid="{00000000-0005-0000-0000-0000D4080000}"/>
    <cellStyle name="ss12" xfId="2136" xr:uid="{00000000-0005-0000-0000-0000D5080000}"/>
    <cellStyle name="ss13" xfId="2137" xr:uid="{00000000-0005-0000-0000-0000D6080000}"/>
    <cellStyle name="ss14" xfId="2138" xr:uid="{00000000-0005-0000-0000-0000D7080000}"/>
    <cellStyle name="ss15" xfId="2139" xr:uid="{00000000-0005-0000-0000-0000D8080000}"/>
    <cellStyle name="ss16" xfId="2140" xr:uid="{00000000-0005-0000-0000-0000D9080000}"/>
    <cellStyle name="ss17" xfId="2141" xr:uid="{00000000-0005-0000-0000-0000DA080000}"/>
    <cellStyle name="ss18" xfId="2142" xr:uid="{00000000-0005-0000-0000-0000DB080000}"/>
    <cellStyle name="ss19" xfId="2143" xr:uid="{00000000-0005-0000-0000-0000DC080000}"/>
    <cellStyle name="ss2" xfId="2144" xr:uid="{00000000-0005-0000-0000-0000DD080000}"/>
    <cellStyle name="ss20" xfId="2145" xr:uid="{00000000-0005-0000-0000-0000DE080000}"/>
    <cellStyle name="ss21" xfId="2146" xr:uid="{00000000-0005-0000-0000-0000DF080000}"/>
    <cellStyle name="ss22" xfId="2147" xr:uid="{00000000-0005-0000-0000-0000E0080000}"/>
    <cellStyle name="ss23" xfId="2148" xr:uid="{00000000-0005-0000-0000-0000E1080000}"/>
    <cellStyle name="ss23 2" xfId="2149" xr:uid="{00000000-0005-0000-0000-0000E2080000}"/>
    <cellStyle name="ss23 2 2" xfId="2150" xr:uid="{00000000-0005-0000-0000-0000E3080000}"/>
    <cellStyle name="ss23 2 2 2" xfId="2151" xr:uid="{00000000-0005-0000-0000-0000E4080000}"/>
    <cellStyle name="ss23 2 3" xfId="2152" xr:uid="{00000000-0005-0000-0000-0000E5080000}"/>
    <cellStyle name="ss23 3" xfId="2153" xr:uid="{00000000-0005-0000-0000-0000E6080000}"/>
    <cellStyle name="ss23 3 2" xfId="2154" xr:uid="{00000000-0005-0000-0000-0000E7080000}"/>
    <cellStyle name="ss23 4" xfId="2155" xr:uid="{00000000-0005-0000-0000-0000E8080000}"/>
    <cellStyle name="ss23 4 2" xfId="2156" xr:uid="{00000000-0005-0000-0000-0000E9080000}"/>
    <cellStyle name="ss23 5" xfId="2157" xr:uid="{00000000-0005-0000-0000-0000EA080000}"/>
    <cellStyle name="ss3" xfId="2158" xr:uid="{00000000-0005-0000-0000-0000EB080000}"/>
    <cellStyle name="ss4" xfId="2159" xr:uid="{00000000-0005-0000-0000-0000EC080000}"/>
    <cellStyle name="ss5" xfId="2160" xr:uid="{00000000-0005-0000-0000-0000ED080000}"/>
    <cellStyle name="ss6" xfId="2161" xr:uid="{00000000-0005-0000-0000-0000EE080000}"/>
    <cellStyle name="ss6 2" xfId="2162" xr:uid="{00000000-0005-0000-0000-0000EF080000}"/>
    <cellStyle name="ss6 2 2" xfId="2163" xr:uid="{00000000-0005-0000-0000-0000F0080000}"/>
    <cellStyle name="ss6 2 2 2" xfId="2164" xr:uid="{00000000-0005-0000-0000-0000F1080000}"/>
    <cellStyle name="ss6 2 3" xfId="2165" xr:uid="{00000000-0005-0000-0000-0000F2080000}"/>
    <cellStyle name="ss6 3" xfId="2166" xr:uid="{00000000-0005-0000-0000-0000F3080000}"/>
    <cellStyle name="ss6 3 2" xfId="2167" xr:uid="{00000000-0005-0000-0000-0000F4080000}"/>
    <cellStyle name="ss6 4" xfId="2168" xr:uid="{00000000-0005-0000-0000-0000F5080000}"/>
    <cellStyle name="ss6 4 2" xfId="2169" xr:uid="{00000000-0005-0000-0000-0000F6080000}"/>
    <cellStyle name="ss6 5" xfId="2170" xr:uid="{00000000-0005-0000-0000-0000F7080000}"/>
    <cellStyle name="ss7" xfId="2171" xr:uid="{00000000-0005-0000-0000-0000F8080000}"/>
    <cellStyle name="ss7 2" xfId="2172" xr:uid="{00000000-0005-0000-0000-0000F9080000}"/>
    <cellStyle name="ss8" xfId="2173" xr:uid="{00000000-0005-0000-0000-0000FA080000}"/>
    <cellStyle name="ss8 2" xfId="2174" xr:uid="{00000000-0005-0000-0000-0000FB080000}"/>
    <cellStyle name="ss9" xfId="2175" xr:uid="{00000000-0005-0000-0000-0000FC080000}"/>
    <cellStyle name="Standaard_Blad1" xfId="2176" xr:uid="{00000000-0005-0000-0000-0000FD080000}"/>
    <cellStyle name="Standard_AT1990-2000Nat" xfId="2177" xr:uid="{00000000-0005-0000-0000-0000FE080000}"/>
    <cellStyle name="Style 1" xfId="2178" xr:uid="{00000000-0005-0000-0000-0000FF080000}"/>
    <cellStyle name="Style 1 2" xfId="2356" xr:uid="{00000000-0005-0000-0000-000000090000}"/>
    <cellStyle name="Sub-titles" xfId="2179" xr:uid="{00000000-0005-0000-0000-000001090000}"/>
    <cellStyle name="Sub-titles Cols" xfId="2180" xr:uid="{00000000-0005-0000-0000-000002090000}"/>
    <cellStyle name="Sub-titles rows" xfId="2181" xr:uid="{00000000-0005-0000-0000-000003090000}"/>
    <cellStyle name="SUMME" xfId="2182" xr:uid="{00000000-0005-0000-0000-000004090000}"/>
    <cellStyle name="Table No." xfId="2183" xr:uid="{00000000-0005-0000-0000-000005090000}"/>
    <cellStyle name="Table Title" xfId="2184" xr:uid="{00000000-0005-0000-0000-000006090000}"/>
    <cellStyle name="table_body" xfId="2185" xr:uid="{00000000-0005-0000-0000-000007090000}"/>
    <cellStyle name="temp" xfId="2186" xr:uid="{00000000-0005-0000-0000-000008090000}"/>
    <cellStyle name="tête chapitre" xfId="2187" xr:uid="{00000000-0005-0000-0000-000009090000}"/>
    <cellStyle name="TEXT" xfId="2188" xr:uid="{00000000-0005-0000-0000-00000A090000}"/>
    <cellStyle name="Texte explicatif" xfId="2189" xr:uid="{00000000-0005-0000-0000-00000B090000}"/>
    <cellStyle name="title1" xfId="2190" xr:uid="{00000000-0005-0000-0000-00000C090000}"/>
    <cellStyle name="Titles" xfId="2191" xr:uid="{00000000-0005-0000-0000-00000D090000}"/>
    <cellStyle name="Titre" xfId="2192" xr:uid="{00000000-0005-0000-0000-00000E090000}"/>
    <cellStyle name="Titre 1" xfId="2193" xr:uid="{00000000-0005-0000-0000-00000F090000}"/>
    <cellStyle name="Titre 2" xfId="2194" xr:uid="{00000000-0005-0000-0000-000010090000}"/>
    <cellStyle name="Titre 3" xfId="2195" xr:uid="{00000000-0005-0000-0000-000011090000}"/>
    <cellStyle name="Titre 4" xfId="2196" xr:uid="{00000000-0005-0000-0000-000012090000}"/>
    <cellStyle name="Total 10" xfId="2198" xr:uid="{00000000-0005-0000-0000-000013090000}"/>
    <cellStyle name="Total 10 2" xfId="2199" xr:uid="{00000000-0005-0000-0000-000014090000}"/>
    <cellStyle name="Total 11" xfId="2200" xr:uid="{00000000-0005-0000-0000-000015090000}"/>
    <cellStyle name="Total 11 2" xfId="2201" xr:uid="{00000000-0005-0000-0000-000016090000}"/>
    <cellStyle name="Total 12" xfId="2202" xr:uid="{00000000-0005-0000-0000-000017090000}"/>
    <cellStyle name="Total 12 2" xfId="2203" xr:uid="{00000000-0005-0000-0000-000018090000}"/>
    <cellStyle name="Total 13" xfId="2204" xr:uid="{00000000-0005-0000-0000-000019090000}"/>
    <cellStyle name="Total 13 2" xfId="2205" xr:uid="{00000000-0005-0000-0000-00001A090000}"/>
    <cellStyle name="Total 14" xfId="2197" xr:uid="{00000000-0005-0000-0000-00001B090000}"/>
    <cellStyle name="Total 14 2" xfId="2357" xr:uid="{00000000-0005-0000-0000-00001C090000}"/>
    <cellStyle name="Total 2" xfId="2206" xr:uid="{00000000-0005-0000-0000-00001D090000}"/>
    <cellStyle name="Total 2 2" xfId="2207" xr:uid="{00000000-0005-0000-0000-00001E090000}"/>
    <cellStyle name="Total 3" xfId="2208" xr:uid="{00000000-0005-0000-0000-00001F090000}"/>
    <cellStyle name="Total 3 2" xfId="2209" xr:uid="{00000000-0005-0000-0000-000020090000}"/>
    <cellStyle name="Total 4" xfId="2210" xr:uid="{00000000-0005-0000-0000-000021090000}"/>
    <cellStyle name="Total 4 2" xfId="2211" xr:uid="{00000000-0005-0000-0000-000022090000}"/>
    <cellStyle name="Total 5" xfId="2212" xr:uid="{00000000-0005-0000-0000-000023090000}"/>
    <cellStyle name="Total 5 2" xfId="2213" xr:uid="{00000000-0005-0000-0000-000024090000}"/>
    <cellStyle name="Total 6" xfId="2214" xr:uid="{00000000-0005-0000-0000-000025090000}"/>
    <cellStyle name="Total 6 2" xfId="2215" xr:uid="{00000000-0005-0000-0000-000026090000}"/>
    <cellStyle name="Total 7" xfId="2216" xr:uid="{00000000-0005-0000-0000-000027090000}"/>
    <cellStyle name="Total 7 2" xfId="2217" xr:uid="{00000000-0005-0000-0000-000028090000}"/>
    <cellStyle name="Total 8" xfId="2218" xr:uid="{00000000-0005-0000-0000-000029090000}"/>
    <cellStyle name="Total 8 2" xfId="2219" xr:uid="{00000000-0005-0000-0000-00002A090000}"/>
    <cellStyle name="Total 9" xfId="2220" xr:uid="{00000000-0005-0000-0000-00002B090000}"/>
    <cellStyle name="Total 9 2" xfId="2221" xr:uid="{00000000-0005-0000-0000-00002C090000}"/>
    <cellStyle name="Tusental (0)_Blad2" xfId="2222" xr:uid="{00000000-0005-0000-0000-00002D090000}"/>
    <cellStyle name="Tusental 2" xfId="2223" xr:uid="{00000000-0005-0000-0000-00002E090000}"/>
    <cellStyle name="Tusental_Blad2" xfId="2224" xr:uid="{00000000-0005-0000-0000-00002F090000}"/>
    <cellStyle name="Uwaga 2" xfId="2225" xr:uid="{00000000-0005-0000-0000-000030090000}"/>
    <cellStyle name="Valuta (0)_Blad2" xfId="2226" xr:uid="{00000000-0005-0000-0000-000031090000}"/>
    <cellStyle name="Valuta_Blad2" xfId="2227" xr:uid="{00000000-0005-0000-0000-000032090000}"/>
    <cellStyle name="Vérification" xfId="2228" xr:uid="{00000000-0005-0000-0000-000033090000}"/>
    <cellStyle name="Währung [0]_Check" xfId="2229" xr:uid="{00000000-0005-0000-0000-000034090000}"/>
    <cellStyle name="Währung_Check" xfId="2230" xr:uid="{00000000-0005-0000-0000-000035090000}"/>
    <cellStyle name="Wrapped" xfId="2231" xr:uid="{00000000-0005-0000-0000-000036090000}"/>
    <cellStyle name="Βασικό_Φύλλο1" xfId="3" xr:uid="{00000000-0005-0000-0000-000037090000}"/>
  </cellStyles>
  <dxfs count="0"/>
  <tableStyles count="0" defaultTableStyle="TableStyleMedium2" defaultPivotStyle="PivotStyleLight16"/>
  <colors>
    <mruColors>
      <color rgb="FFCCCCFF"/>
      <color rgb="FFFF808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Applic\APW94\SOPTABLE\ANNEXE\Restruct\ANXA01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ain.oecd.org\sdataELS\Applic\APW94\SOPTABLE\ANNEXE\Restruct\ANXA01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 seri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ata-explorer.oecd.org/vis?fs%5b0%5d=Topic%2C1%7CSociety%23SOC%23%7CWell-being%20and%20beyond%20GDP%23SOC_WEL%23&amp;pg=0&amp;fc=Topic&amp;bp=true&amp;snb=8&amp;df%5bds%5d=dsDisseminateFinalDMZ&amp;df%5bid%5d=DSD_TIME_USE%40DF_TIME_USE&amp;df%5bag%5d=OECD.WISE.INE&amp;df%5bvs%5d=1.0&amp;dq=.._T&amp;ly%5brw%5d=REF_AREA&amp;ly%5bcl%5d=MEASURE&amp;to%5bTIME%5d=fal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D37"/>
  <sheetViews>
    <sheetView tabSelected="1" zoomScaleNormal="100" workbookViewId="0">
      <selection activeCell="A12" sqref="A12:H12"/>
    </sheetView>
  </sheetViews>
  <sheetFormatPr defaultColWidth="0" defaultRowHeight="12.75" customHeight="1" zeroHeight="1"/>
  <cols>
    <col min="1" max="6" width="9.140625" customWidth="1"/>
    <col min="7" max="7" width="45.85546875" customWidth="1"/>
    <col min="8" max="8" width="9.28515625" bestFit="1" customWidth="1"/>
    <col min="257" max="262" width="9.140625" hidden="1" customWidth="1"/>
    <col min="263" max="263" width="45.85546875" hidden="1" customWidth="1"/>
    <col min="264" max="264" width="14" hidden="1" customWidth="1"/>
    <col min="513" max="518" width="9.140625" hidden="1" customWidth="1"/>
    <col min="519" max="519" width="45.85546875" hidden="1" customWidth="1"/>
    <col min="520" max="520" width="14" hidden="1" customWidth="1"/>
    <col min="769" max="774" width="9.140625" hidden="1" customWidth="1"/>
    <col min="775" max="775" width="45.85546875" hidden="1" customWidth="1"/>
    <col min="776" max="776" width="14" hidden="1" customWidth="1"/>
    <col min="1025" max="1030" width="9.140625" hidden="1" customWidth="1"/>
    <col min="1031" max="1031" width="45.85546875" hidden="1" customWidth="1"/>
    <col min="1032" max="1032" width="14" hidden="1" customWidth="1"/>
    <col min="1281" max="1286" width="9.140625" hidden="1" customWidth="1"/>
    <col min="1287" max="1287" width="45.85546875" hidden="1" customWidth="1"/>
    <col min="1288" max="1288" width="14" hidden="1" customWidth="1"/>
    <col min="1537" max="1542" width="9.140625" hidden="1" customWidth="1"/>
    <col min="1543" max="1543" width="45.85546875" hidden="1" customWidth="1"/>
    <col min="1544" max="1544" width="14" hidden="1" customWidth="1"/>
    <col min="1793" max="1798" width="9.140625" hidden="1" customWidth="1"/>
    <col min="1799" max="1799" width="45.85546875" hidden="1" customWidth="1"/>
    <col min="1800" max="1800" width="14" hidden="1" customWidth="1"/>
    <col min="2049" max="2054" width="9.140625" hidden="1" customWidth="1"/>
    <col min="2055" max="2055" width="45.85546875" hidden="1" customWidth="1"/>
    <col min="2056" max="2056" width="14" hidden="1" customWidth="1"/>
    <col min="2305" max="2310" width="9.140625" hidden="1" customWidth="1"/>
    <col min="2311" max="2311" width="45.85546875" hidden="1" customWidth="1"/>
    <col min="2312" max="2312" width="14" hidden="1" customWidth="1"/>
    <col min="2561" max="2566" width="9.140625" hidden="1" customWidth="1"/>
    <col min="2567" max="2567" width="45.85546875" hidden="1" customWidth="1"/>
    <col min="2568" max="2568" width="14" hidden="1" customWidth="1"/>
    <col min="2817" max="2822" width="9.140625" hidden="1" customWidth="1"/>
    <col min="2823" max="2823" width="45.85546875" hidden="1" customWidth="1"/>
    <col min="2824" max="2824" width="14" hidden="1" customWidth="1"/>
    <col min="3073" max="3078" width="9.140625" hidden="1" customWidth="1"/>
    <col min="3079" max="3079" width="45.85546875" hidden="1" customWidth="1"/>
    <col min="3080" max="3080" width="14" hidden="1" customWidth="1"/>
    <col min="3329" max="3334" width="9.140625" hidden="1" customWidth="1"/>
    <col min="3335" max="3335" width="45.85546875" hidden="1" customWidth="1"/>
    <col min="3336" max="3336" width="14" hidden="1" customWidth="1"/>
    <col min="3585" max="3590" width="9.140625" hidden="1" customWidth="1"/>
    <col min="3591" max="3591" width="45.85546875" hidden="1" customWidth="1"/>
    <col min="3592" max="3592" width="14" hidden="1" customWidth="1"/>
    <col min="3841" max="3846" width="9.140625" hidden="1" customWidth="1"/>
    <col min="3847" max="3847" width="45.85546875" hidden="1" customWidth="1"/>
    <col min="3848" max="3848" width="14" hidden="1" customWidth="1"/>
    <col min="4097" max="4102" width="9.140625" hidden="1" customWidth="1"/>
    <col min="4103" max="4103" width="45.85546875" hidden="1" customWidth="1"/>
    <col min="4104" max="4104" width="14" hidden="1" customWidth="1"/>
    <col min="4353" max="4358" width="9.140625" hidden="1" customWidth="1"/>
    <col min="4359" max="4359" width="45.85546875" hidden="1" customWidth="1"/>
    <col min="4360" max="4360" width="14" hidden="1" customWidth="1"/>
    <col min="4609" max="4614" width="9.140625" hidden="1" customWidth="1"/>
    <col min="4615" max="4615" width="45.85546875" hidden="1" customWidth="1"/>
    <col min="4616" max="4616" width="14" hidden="1" customWidth="1"/>
    <col min="4865" max="4870" width="9.140625" hidden="1" customWidth="1"/>
    <col min="4871" max="4871" width="45.85546875" hidden="1" customWidth="1"/>
    <col min="4872" max="4872" width="14" hidden="1" customWidth="1"/>
    <col min="5121" max="5126" width="9.140625" hidden="1" customWidth="1"/>
    <col min="5127" max="5127" width="45.85546875" hidden="1" customWidth="1"/>
    <col min="5128" max="5128" width="14" hidden="1" customWidth="1"/>
    <col min="5377" max="5382" width="9.140625" hidden="1" customWidth="1"/>
    <col min="5383" max="5383" width="45.85546875" hidden="1" customWidth="1"/>
    <col min="5384" max="5384" width="14" hidden="1" customWidth="1"/>
    <col min="5633" max="5638" width="9.140625" hidden="1" customWidth="1"/>
    <col min="5639" max="5639" width="45.85546875" hidden="1" customWidth="1"/>
    <col min="5640" max="5640" width="14" hidden="1" customWidth="1"/>
    <col min="5889" max="5894" width="9.140625" hidden="1" customWidth="1"/>
    <col min="5895" max="5895" width="45.85546875" hidden="1" customWidth="1"/>
    <col min="5896" max="5896" width="14" hidden="1" customWidth="1"/>
    <col min="6145" max="6150" width="9.140625" hidden="1" customWidth="1"/>
    <col min="6151" max="6151" width="45.85546875" hidden="1" customWidth="1"/>
    <col min="6152" max="6152" width="14" hidden="1" customWidth="1"/>
    <col min="6401" max="6406" width="9.140625" hidden="1" customWidth="1"/>
    <col min="6407" max="6407" width="45.85546875" hidden="1" customWidth="1"/>
    <col min="6408" max="6408" width="14" hidden="1" customWidth="1"/>
    <col min="6657" max="6662" width="9.140625" hidden="1" customWidth="1"/>
    <col min="6663" max="6663" width="45.85546875" hidden="1" customWidth="1"/>
    <col min="6664" max="6664" width="14" hidden="1" customWidth="1"/>
    <col min="6913" max="6918" width="9.140625" hidden="1" customWidth="1"/>
    <col min="6919" max="6919" width="45.85546875" hidden="1" customWidth="1"/>
    <col min="6920" max="6920" width="14" hidden="1" customWidth="1"/>
    <col min="7169" max="7174" width="9.140625" hidden="1" customWidth="1"/>
    <col min="7175" max="7175" width="45.85546875" hidden="1" customWidth="1"/>
    <col min="7176" max="7176" width="14" hidden="1" customWidth="1"/>
    <col min="7425" max="7430" width="9.140625" hidden="1" customWidth="1"/>
    <col min="7431" max="7431" width="45.85546875" hidden="1" customWidth="1"/>
    <col min="7432" max="7432" width="14" hidden="1" customWidth="1"/>
    <col min="7681" max="7686" width="9.140625" hidden="1" customWidth="1"/>
    <col min="7687" max="7687" width="45.85546875" hidden="1" customWidth="1"/>
    <col min="7688" max="7688" width="14" hidden="1" customWidth="1"/>
    <col min="7937" max="7942" width="9.140625" hidden="1" customWidth="1"/>
    <col min="7943" max="7943" width="45.85546875" hidden="1" customWidth="1"/>
    <col min="7944" max="7944" width="14" hidden="1" customWidth="1"/>
    <col min="8193" max="8198" width="9.140625" hidden="1" customWidth="1"/>
    <col min="8199" max="8199" width="45.85546875" hidden="1" customWidth="1"/>
    <col min="8200" max="8200" width="14" hidden="1" customWidth="1"/>
    <col min="8449" max="8454" width="9.140625" hidden="1" customWidth="1"/>
    <col min="8455" max="8455" width="45.85546875" hidden="1" customWidth="1"/>
    <col min="8456" max="8456" width="14" hidden="1" customWidth="1"/>
    <col min="8705" max="8710" width="9.140625" hidden="1" customWidth="1"/>
    <col min="8711" max="8711" width="45.85546875" hidden="1" customWidth="1"/>
    <col min="8712" max="8712" width="14" hidden="1" customWidth="1"/>
    <col min="8961" max="8966" width="9.140625" hidden="1" customWidth="1"/>
    <col min="8967" max="8967" width="45.85546875" hidden="1" customWidth="1"/>
    <col min="8968" max="8968" width="14" hidden="1" customWidth="1"/>
    <col min="9217" max="9222" width="9.140625" hidden="1" customWidth="1"/>
    <col min="9223" max="9223" width="45.85546875" hidden="1" customWidth="1"/>
    <col min="9224" max="9224" width="14" hidden="1" customWidth="1"/>
    <col min="9473" max="9478" width="9.140625" hidden="1" customWidth="1"/>
    <col min="9479" max="9479" width="45.85546875" hidden="1" customWidth="1"/>
    <col min="9480" max="9480" width="14" hidden="1" customWidth="1"/>
    <col min="9729" max="9734" width="9.140625" hidden="1" customWidth="1"/>
    <col min="9735" max="9735" width="45.85546875" hidden="1" customWidth="1"/>
    <col min="9736" max="9736" width="14" hidden="1" customWidth="1"/>
    <col min="9985" max="9990" width="9.140625" hidden="1" customWidth="1"/>
    <col min="9991" max="9991" width="45.85546875" hidden="1" customWidth="1"/>
    <col min="9992" max="9992" width="14" hidden="1" customWidth="1"/>
    <col min="10241" max="10246" width="9.140625" hidden="1" customWidth="1"/>
    <col min="10247" max="10247" width="45.85546875" hidden="1" customWidth="1"/>
    <col min="10248" max="10248" width="14" hidden="1" customWidth="1"/>
    <col min="10497" max="10502" width="9.140625" hidden="1" customWidth="1"/>
    <col min="10503" max="10503" width="45.85546875" hidden="1" customWidth="1"/>
    <col min="10504" max="10504" width="14" hidden="1" customWidth="1"/>
    <col min="10753" max="10758" width="9.140625" hidden="1" customWidth="1"/>
    <col min="10759" max="10759" width="45.85546875" hidden="1" customWidth="1"/>
    <col min="10760" max="10760" width="14" hidden="1" customWidth="1"/>
    <col min="11009" max="11014" width="9.140625" hidden="1" customWidth="1"/>
    <col min="11015" max="11015" width="45.85546875" hidden="1" customWidth="1"/>
    <col min="11016" max="11016" width="14" hidden="1" customWidth="1"/>
    <col min="11265" max="11270" width="9.140625" hidden="1" customWidth="1"/>
    <col min="11271" max="11271" width="45.85546875" hidden="1" customWidth="1"/>
    <col min="11272" max="11272" width="14" hidden="1" customWidth="1"/>
    <col min="11521" max="11526" width="9.140625" hidden="1" customWidth="1"/>
    <col min="11527" max="11527" width="45.85546875" hidden="1" customWidth="1"/>
    <col min="11528" max="11528" width="14" hidden="1" customWidth="1"/>
    <col min="11777" max="11782" width="9.140625" hidden="1" customWidth="1"/>
    <col min="11783" max="11783" width="45.85546875" hidden="1" customWidth="1"/>
    <col min="11784" max="11784" width="14" hidden="1" customWidth="1"/>
    <col min="12033" max="12038" width="9.140625" hidden="1" customWidth="1"/>
    <col min="12039" max="12039" width="45.85546875" hidden="1" customWidth="1"/>
    <col min="12040" max="12040" width="14" hidden="1" customWidth="1"/>
    <col min="12289" max="12294" width="9.140625" hidden="1" customWidth="1"/>
    <col min="12295" max="12295" width="45.85546875" hidden="1" customWidth="1"/>
    <col min="12296" max="12296" width="14" hidden="1" customWidth="1"/>
    <col min="12545" max="12550" width="9.140625" hidden="1" customWidth="1"/>
    <col min="12551" max="12551" width="45.85546875" hidden="1" customWidth="1"/>
    <col min="12552" max="12552" width="14" hidden="1" customWidth="1"/>
    <col min="12801" max="12806" width="9.140625" hidden="1" customWidth="1"/>
    <col min="12807" max="12807" width="45.85546875" hidden="1" customWidth="1"/>
    <col min="12808" max="12808" width="14" hidden="1" customWidth="1"/>
    <col min="13057" max="13062" width="9.140625" hidden="1" customWidth="1"/>
    <col min="13063" max="13063" width="45.85546875" hidden="1" customWidth="1"/>
    <col min="13064" max="13064" width="14" hidden="1" customWidth="1"/>
    <col min="13313" max="13318" width="9.140625" hidden="1" customWidth="1"/>
    <col min="13319" max="13319" width="45.85546875" hidden="1" customWidth="1"/>
    <col min="13320" max="13320" width="14" hidden="1" customWidth="1"/>
    <col min="13569" max="13574" width="9.140625" hidden="1" customWidth="1"/>
    <col min="13575" max="13575" width="45.85546875" hidden="1" customWidth="1"/>
    <col min="13576" max="13576" width="14" hidden="1" customWidth="1"/>
    <col min="13825" max="13830" width="9.140625" hidden="1" customWidth="1"/>
    <col min="13831" max="13831" width="45.85546875" hidden="1" customWidth="1"/>
    <col min="13832" max="13832" width="14" hidden="1" customWidth="1"/>
    <col min="14081" max="14086" width="9.140625" hidden="1" customWidth="1"/>
    <col min="14087" max="14087" width="45.85546875" hidden="1" customWidth="1"/>
    <col min="14088" max="14088" width="14" hidden="1" customWidth="1"/>
    <col min="14337" max="14342" width="9.140625" hidden="1" customWidth="1"/>
    <col min="14343" max="14343" width="45.85546875" hidden="1" customWidth="1"/>
    <col min="14344" max="14344" width="14" hidden="1" customWidth="1"/>
    <col min="14593" max="14598" width="9.140625" hidden="1" customWidth="1"/>
    <col min="14599" max="14599" width="45.85546875" hidden="1" customWidth="1"/>
    <col min="14600" max="14600" width="14" hidden="1" customWidth="1"/>
    <col min="14849" max="14854" width="9.140625" hidden="1" customWidth="1"/>
    <col min="14855" max="14855" width="45.85546875" hidden="1" customWidth="1"/>
    <col min="14856" max="14856" width="14" hidden="1" customWidth="1"/>
    <col min="15105" max="15110" width="9.140625" hidden="1" customWidth="1"/>
    <col min="15111" max="15111" width="45.85546875" hidden="1" customWidth="1"/>
    <col min="15112" max="15112" width="14" hidden="1" customWidth="1"/>
    <col min="15361" max="15366" width="9.140625" hidden="1" customWidth="1"/>
    <col min="15367" max="15367" width="45.85546875" hidden="1" customWidth="1"/>
    <col min="15368" max="15368" width="14" hidden="1" customWidth="1"/>
    <col min="15617" max="15622" width="9.140625" hidden="1" customWidth="1"/>
    <col min="15623" max="15623" width="45.85546875" hidden="1" customWidth="1"/>
    <col min="15624" max="15624" width="14" hidden="1" customWidth="1"/>
    <col min="15873" max="15878" width="9.140625" hidden="1" customWidth="1"/>
    <col min="15879" max="15879" width="45.85546875" hidden="1" customWidth="1"/>
    <col min="15880" max="15880" width="14" hidden="1" customWidth="1"/>
    <col min="16129" max="16134" width="9.140625" hidden="1" customWidth="1"/>
    <col min="16135" max="16135" width="45.85546875" hidden="1" customWidth="1"/>
    <col min="16136" max="16136" width="14" hidden="1" customWidth="1"/>
  </cols>
  <sheetData>
    <row r="1" spans="1:8 16384:16384" ht="20.25">
      <c r="A1" s="69" t="s">
        <v>624</v>
      </c>
      <c r="B1" s="70"/>
      <c r="C1" s="70"/>
      <c r="D1" s="71"/>
      <c r="E1" s="71"/>
      <c r="F1" s="71"/>
      <c r="G1" s="71"/>
      <c r="H1" s="71"/>
    </row>
    <row r="2" spans="1:8 16384:16384">
      <c r="A2" s="70"/>
      <c r="B2" s="70"/>
      <c r="C2" s="70"/>
      <c r="D2" s="71"/>
      <c r="E2" s="71"/>
      <c r="F2" s="71"/>
      <c r="G2" s="71"/>
      <c r="H2" s="71"/>
    </row>
    <row r="3" spans="1:8 16384:16384" ht="20.25">
      <c r="A3" s="69">
        <v>2026</v>
      </c>
      <c r="B3" s="70"/>
      <c r="C3" s="70"/>
      <c r="D3" s="71"/>
      <c r="E3" s="71"/>
      <c r="F3" s="71"/>
      <c r="G3" s="71"/>
      <c r="H3" s="71"/>
    </row>
    <row r="4" spans="1:8 16384:16384" ht="20.25">
      <c r="A4" s="72"/>
      <c r="B4" s="71"/>
      <c r="C4" s="71"/>
      <c r="D4" s="71"/>
      <c r="E4" s="71"/>
      <c r="F4" s="71"/>
      <c r="G4" s="71"/>
      <c r="H4" s="71"/>
    </row>
    <row r="5" spans="1:8 16384:16384" ht="12.75" customHeight="1">
      <c r="A5" s="71"/>
      <c r="B5" s="71"/>
      <c r="C5" s="71"/>
      <c r="D5" s="71"/>
      <c r="E5" s="71"/>
      <c r="F5" s="71"/>
      <c r="G5" s="71"/>
      <c r="H5" s="71"/>
    </row>
    <row r="6" spans="1:8 16384:16384">
      <c r="A6" s="73" t="s">
        <v>234</v>
      </c>
      <c r="B6" s="73"/>
      <c r="C6" s="73"/>
      <c r="D6" s="73"/>
      <c r="E6" s="73"/>
      <c r="F6" s="73"/>
      <c r="G6" s="73"/>
      <c r="H6" s="74"/>
    </row>
    <row r="7" spans="1:8 16384:16384" ht="12.75" customHeight="1">
      <c r="A7" s="71"/>
      <c r="B7" s="75" t="s">
        <v>33</v>
      </c>
      <c r="C7" s="76"/>
      <c r="D7" s="76"/>
      <c r="E7" s="76"/>
      <c r="F7" s="76"/>
      <c r="G7" s="76"/>
      <c r="H7" s="85" t="s">
        <v>235</v>
      </c>
    </row>
    <row r="8" spans="1:8 16384:16384" ht="12.75" customHeight="1">
      <c r="A8" s="71"/>
      <c r="B8" s="77" t="s">
        <v>37</v>
      </c>
      <c r="C8" s="78"/>
      <c r="D8" s="78"/>
      <c r="E8" s="78"/>
      <c r="F8" s="78"/>
      <c r="G8" s="78"/>
      <c r="H8" s="84" t="s">
        <v>235</v>
      </c>
    </row>
    <row r="9" spans="1:8 16384:16384" ht="12.75" customHeight="1">
      <c r="A9" s="71"/>
      <c r="B9" s="79" t="s">
        <v>38</v>
      </c>
      <c r="C9" s="80"/>
      <c r="D9" s="80"/>
      <c r="E9" s="80"/>
      <c r="F9" s="80"/>
      <c r="G9" s="80"/>
      <c r="H9" s="83" t="s">
        <v>235</v>
      </c>
    </row>
    <row r="10" spans="1:8 16384:16384" ht="12.75" customHeight="1">
      <c r="A10" s="71"/>
      <c r="B10" s="71"/>
      <c r="C10" s="71"/>
      <c r="D10" s="71"/>
      <c r="E10" s="71"/>
      <c r="F10" s="71"/>
      <c r="G10" s="71"/>
      <c r="H10" s="71"/>
    </row>
    <row r="11" spans="1:8 16384:16384">
      <c r="A11" s="73" t="s">
        <v>552</v>
      </c>
      <c r="B11" s="73"/>
      <c r="C11" s="73"/>
      <c r="D11" s="73"/>
      <c r="E11" s="73"/>
      <c r="F11" s="73"/>
      <c r="G11" s="73"/>
      <c r="H11" s="82" t="s">
        <v>235</v>
      </c>
    </row>
    <row r="12" spans="1:8 16384:16384" ht="45.75" customHeight="1">
      <c r="A12" s="229" t="s">
        <v>731</v>
      </c>
      <c r="B12" s="229"/>
      <c r="C12" s="229"/>
      <c r="D12" s="229"/>
      <c r="E12" s="229"/>
      <c r="F12" s="229"/>
      <c r="G12" s="229"/>
      <c r="H12" s="229"/>
      <c r="XFD12">
        <v>0</v>
      </c>
    </row>
    <row r="13" spans="1:8 16384:16384" ht="15">
      <c r="A13" s="218"/>
      <c r="B13" s="218"/>
      <c r="C13" s="218"/>
      <c r="D13" s="218"/>
      <c r="E13" s="218"/>
      <c r="F13" s="218"/>
      <c r="G13" s="218"/>
      <c r="H13" s="218"/>
    </row>
    <row r="14" spans="1:8 16384:16384" s="220" customFormat="1" ht="15">
      <c r="A14" s="218" t="s">
        <v>601</v>
      </c>
      <c r="B14" s="218"/>
      <c r="C14" s="218"/>
      <c r="D14" s="218"/>
      <c r="E14" s="218"/>
      <c r="F14" s="218"/>
      <c r="G14" s="218"/>
      <c r="H14" s="219"/>
    </row>
    <row r="15" spans="1:8 16384:16384" ht="12.75" customHeight="1">
      <c r="A15" s="71"/>
      <c r="B15" s="71"/>
      <c r="C15" s="218"/>
      <c r="D15" s="71"/>
      <c r="E15" s="71"/>
      <c r="F15" s="71"/>
      <c r="G15" s="71"/>
      <c r="H15" s="71"/>
    </row>
    <row r="16" spans="1:8 16384:16384" ht="12.75" customHeight="1">
      <c r="A16" s="227" t="s">
        <v>557</v>
      </c>
      <c r="B16" s="227"/>
      <c r="C16" s="227"/>
      <c r="D16" s="227"/>
      <c r="E16" s="227"/>
      <c r="F16" s="227"/>
      <c r="G16" s="227"/>
      <c r="H16" s="227"/>
    </row>
    <row r="17" spans="1:8" ht="16.5" customHeight="1">
      <c r="A17" s="227"/>
      <c r="B17" s="227"/>
      <c r="C17" s="227"/>
      <c r="D17" s="227"/>
      <c r="E17" s="227"/>
      <c r="F17" s="227"/>
      <c r="G17" s="227"/>
      <c r="H17" s="227"/>
    </row>
    <row r="18" spans="1:8" ht="12.75" customHeight="1">
      <c r="A18" s="227" t="s">
        <v>551</v>
      </c>
      <c r="B18" s="227"/>
      <c r="C18" s="227"/>
      <c r="D18" s="227"/>
      <c r="E18" s="227"/>
      <c r="F18" s="227"/>
      <c r="G18" s="227"/>
      <c r="H18" s="227"/>
    </row>
    <row r="19" spans="1:8" ht="16.5" customHeight="1">
      <c r="A19" s="227"/>
      <c r="B19" s="227"/>
      <c r="C19" s="227"/>
      <c r="D19" s="227"/>
      <c r="E19" s="227"/>
      <c r="F19" s="227"/>
      <c r="G19" s="227"/>
      <c r="H19" s="227"/>
    </row>
    <row r="20" spans="1:8" ht="12.75" customHeight="1">
      <c r="A20" s="184"/>
      <c r="B20" s="184"/>
      <c r="C20" s="184"/>
      <c r="D20" s="184"/>
      <c r="E20" s="184"/>
      <c r="F20" s="184"/>
      <c r="G20" s="184"/>
      <c r="H20" s="184"/>
    </row>
    <row r="21" spans="1:8" ht="12.75" customHeight="1">
      <c r="A21" s="227" t="s">
        <v>602</v>
      </c>
      <c r="B21" s="227"/>
      <c r="C21" s="227"/>
      <c r="D21" s="227"/>
      <c r="E21" s="227"/>
      <c r="F21" s="227"/>
      <c r="G21" s="227"/>
      <c r="H21" s="227"/>
    </row>
    <row r="22" spans="1:8" ht="12.75" customHeight="1">
      <c r="A22" s="227"/>
      <c r="B22" s="227"/>
      <c r="C22" s="227"/>
      <c r="D22" s="227"/>
      <c r="E22" s="227"/>
      <c r="F22" s="227"/>
      <c r="G22" s="227"/>
      <c r="H22" s="227"/>
    </row>
    <row r="23" spans="1:8" ht="19.5" customHeight="1">
      <c r="A23" s="227"/>
      <c r="B23" s="227"/>
      <c r="C23" s="227"/>
      <c r="D23" s="227"/>
      <c r="E23" s="227"/>
      <c r="F23" s="227"/>
      <c r="G23" s="227"/>
      <c r="H23" s="227"/>
    </row>
    <row r="24" spans="1:8" ht="12.75" customHeight="1">
      <c r="A24" s="182"/>
      <c r="B24" s="182"/>
      <c r="C24" s="182"/>
      <c r="D24" s="182"/>
      <c r="E24" s="182"/>
      <c r="F24" s="182"/>
      <c r="G24" s="182"/>
      <c r="H24" s="182"/>
    </row>
    <row r="25" spans="1:8" ht="12.75" customHeight="1">
      <c r="A25" s="223" t="s">
        <v>235</v>
      </c>
      <c r="B25" s="228" t="s">
        <v>623</v>
      </c>
      <c r="C25" s="228"/>
      <c r="D25" s="228"/>
      <c r="E25" s="228"/>
      <c r="F25" s="223"/>
      <c r="G25" s="222"/>
      <c r="H25" s="222"/>
    </row>
    <row r="26" spans="1:8" ht="12.75" customHeight="1">
      <c r="A26" s="71"/>
      <c r="B26" s="71"/>
      <c r="C26" s="71"/>
      <c r="D26" s="71"/>
      <c r="E26" s="71"/>
      <c r="F26" s="71"/>
      <c r="G26" s="71"/>
      <c r="H26" s="71"/>
    </row>
    <row r="27" spans="1:8" ht="12.75" customHeight="1">
      <c r="A27" s="81" t="s">
        <v>553</v>
      </c>
      <c r="B27" s="71"/>
      <c r="C27" s="71"/>
      <c r="D27" s="71"/>
      <c r="E27" s="71"/>
      <c r="F27" s="71"/>
      <c r="G27" s="71"/>
      <c r="H27" s="71"/>
    </row>
    <row r="28" spans="1:8" ht="12.75" customHeight="1">
      <c r="A28" s="71"/>
      <c r="B28" s="71"/>
      <c r="C28" s="71"/>
      <c r="D28" s="71"/>
      <c r="E28" s="71"/>
      <c r="F28" s="71"/>
      <c r="G28" s="71"/>
      <c r="H28" s="71"/>
    </row>
    <row r="29" spans="1:8" ht="12.75" customHeight="1">
      <c r="A29" s="71"/>
      <c r="B29" s="71"/>
      <c r="C29" s="71"/>
      <c r="D29" s="71"/>
      <c r="E29" s="71"/>
      <c r="F29" s="71"/>
      <c r="G29" s="71"/>
      <c r="H29" s="71"/>
    </row>
    <row r="30" spans="1:8" ht="1.5" customHeight="1"/>
    <row r="31" spans="1:8" ht="12.75" customHeight="1"/>
    <row r="32" spans="1:8" ht="12.75" customHeight="1"/>
    <row r="33" ht="12.75" customHeight="1"/>
    <row r="34" ht="12.75" customHeight="1"/>
    <row r="35" ht="12.75" customHeight="1"/>
    <row r="36" ht="12.75" customHeight="1"/>
    <row r="37" ht="12.75" customHeight="1"/>
  </sheetData>
  <mergeCells count="5">
    <mergeCell ref="A16:H17"/>
    <mergeCell ref="A21:H23"/>
    <mergeCell ref="A18:H19"/>
    <mergeCell ref="B25:E25"/>
    <mergeCell ref="A12:H12"/>
  </mergeCells>
  <hyperlinks>
    <hyperlink ref="H11" location="'Activity categories &amp; sources'!A1" display="Click here" xr:uid="{00000000-0004-0000-0000-000000000000}"/>
    <hyperlink ref="H9" location="Women!A1" display="Click here" xr:uid="{00000000-0004-0000-0000-000001000000}"/>
    <hyperlink ref="H8" location="Men!A1" display="Click here" xr:uid="{00000000-0004-0000-0000-000002000000}"/>
    <hyperlink ref="H7" location="Total!A1" display="Click here" xr:uid="{00000000-0004-0000-0000-000003000000}"/>
    <hyperlink ref="A25" r:id="rId1" xr:uid="{00000000-0004-0000-0000-000004000000}"/>
  </hyperlinks>
  <printOptions horizontalCentered="1"/>
  <pageMargins left="0.70866141732282995" right="0.70866141732282995" top="0.74803149606299002" bottom="0.74803149606299002" header="0.31496062992126" footer="0.31496062992126"/>
  <pageSetup paperSize="9" orientation="landscape" r:id="rId2"/>
  <headerFooter alignWithMargins="0">
    <oddFooter>&amp;C_x000D_&amp;1#&amp;"Aptos"&amp;10&amp;K0000FF Restricted Use - À usage restreint&amp;Rwww.oecd.org/gender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A44"/>
  <sheetViews>
    <sheetView zoomScaleNormal="100" workbookViewId="0">
      <pane xSplit="2" ySplit="3" topLeftCell="O4" activePane="bottomRight" state="frozen"/>
      <selection pane="topRight"/>
      <selection pane="bottomLeft"/>
      <selection pane="bottomRight" activeCell="U36" sqref="U36"/>
    </sheetView>
  </sheetViews>
  <sheetFormatPr defaultRowHeight="12.75"/>
  <cols>
    <col min="1" max="1" width="4.7109375" customWidth="1"/>
    <col min="2" max="2" width="48.7109375" customWidth="1"/>
    <col min="3" max="32" width="12.140625" customWidth="1"/>
    <col min="33" max="33" width="9.7109375" customWidth="1"/>
    <col min="34" max="38" width="12.140625" customWidth="1"/>
    <col min="39" max="40" width="7.5703125" style="87" customWidth="1"/>
    <col min="41" max="41" width="9.140625" style="93"/>
  </cols>
  <sheetData>
    <row r="1" spans="1:885">
      <c r="A1" s="1"/>
      <c r="B1" s="50" t="s">
        <v>230</v>
      </c>
      <c r="C1" s="177" t="s">
        <v>236</v>
      </c>
      <c r="D1" s="26" t="s">
        <v>34</v>
      </c>
      <c r="E1" s="27" t="s">
        <v>227</v>
      </c>
      <c r="F1" s="27" t="s">
        <v>39</v>
      </c>
      <c r="G1" s="26" t="s">
        <v>238</v>
      </c>
      <c r="H1" s="27" t="s">
        <v>527</v>
      </c>
      <c r="I1" s="26" t="s">
        <v>721</v>
      </c>
      <c r="J1" s="27" t="s">
        <v>42</v>
      </c>
      <c r="K1" s="26" t="s">
        <v>722</v>
      </c>
      <c r="L1" s="27" t="s">
        <v>228</v>
      </c>
      <c r="M1" s="27" t="s">
        <v>249</v>
      </c>
      <c r="N1" s="26" t="s">
        <v>240</v>
      </c>
      <c r="O1" s="26" t="s">
        <v>47</v>
      </c>
      <c r="P1" s="27" t="s">
        <v>45</v>
      </c>
      <c r="Q1" s="27" t="s">
        <v>242</v>
      </c>
      <c r="R1" s="27" t="s">
        <v>52</v>
      </c>
      <c r="S1" s="27" t="s">
        <v>487</v>
      </c>
      <c r="T1" s="27" t="s">
        <v>485</v>
      </c>
      <c r="U1" s="26" t="s">
        <v>554</v>
      </c>
      <c r="V1" s="26" t="s">
        <v>243</v>
      </c>
      <c r="W1" s="27" t="s">
        <v>244</v>
      </c>
      <c r="X1" s="26" t="s">
        <v>723</v>
      </c>
      <c r="Y1" s="27" t="s">
        <v>229</v>
      </c>
      <c r="Z1" s="26" t="s">
        <v>245</v>
      </c>
      <c r="AA1" s="26" t="s">
        <v>246</v>
      </c>
      <c r="AB1" s="26" t="s">
        <v>53</v>
      </c>
      <c r="AC1" s="26" t="s">
        <v>417</v>
      </c>
      <c r="AD1" s="26" t="s">
        <v>603</v>
      </c>
      <c r="AE1" s="27" t="s">
        <v>499</v>
      </c>
      <c r="AF1" s="27" t="s">
        <v>500</v>
      </c>
      <c r="AG1" s="99"/>
      <c r="AH1" s="26" t="s">
        <v>724</v>
      </c>
      <c r="AI1" s="26" t="s">
        <v>625</v>
      </c>
      <c r="AJ1" s="26" t="s">
        <v>345</v>
      </c>
      <c r="AK1" s="27" t="s">
        <v>342</v>
      </c>
      <c r="AL1" s="27" t="s">
        <v>343</v>
      </c>
      <c r="AM1" s="86"/>
      <c r="AO1" s="88"/>
    </row>
    <row r="2" spans="1:885">
      <c r="A2" s="1"/>
      <c r="B2" s="50" t="s">
        <v>231</v>
      </c>
      <c r="C2" s="178">
        <v>2006</v>
      </c>
      <c r="D2" s="27" t="s">
        <v>562</v>
      </c>
      <c r="E2" s="27">
        <v>2013</v>
      </c>
      <c r="F2" s="27" t="s">
        <v>627</v>
      </c>
      <c r="G2" s="27">
        <v>2001</v>
      </c>
      <c r="H2" s="27" t="s">
        <v>718</v>
      </c>
      <c r="I2" s="27" t="s">
        <v>719</v>
      </c>
      <c r="J2" s="27" t="s">
        <v>41</v>
      </c>
      <c r="K2" s="27" t="s">
        <v>627</v>
      </c>
      <c r="L2" s="27" t="s">
        <v>730</v>
      </c>
      <c r="M2" s="27">
        <v>2010</v>
      </c>
      <c r="N2" s="27">
        <v>2005</v>
      </c>
      <c r="O2" s="27" t="s">
        <v>48</v>
      </c>
      <c r="P2" s="27">
        <v>2021</v>
      </c>
      <c r="Q2" s="27">
        <v>2014</v>
      </c>
      <c r="R2" s="27">
        <v>2003</v>
      </c>
      <c r="S2" s="27">
        <v>2003</v>
      </c>
      <c r="T2" s="27">
        <v>2013</v>
      </c>
      <c r="U2" s="27" t="s">
        <v>629</v>
      </c>
      <c r="V2" s="27">
        <v>2016</v>
      </c>
      <c r="W2" s="27" t="s">
        <v>41</v>
      </c>
      <c r="X2" s="27" t="s">
        <v>627</v>
      </c>
      <c r="Y2" s="27" t="s">
        <v>628</v>
      </c>
      <c r="Z2" s="27">
        <v>1999</v>
      </c>
      <c r="AA2" s="27" t="s">
        <v>247</v>
      </c>
      <c r="AB2" s="27" t="s">
        <v>41</v>
      </c>
      <c r="AC2" s="27">
        <v>2010</v>
      </c>
      <c r="AD2" s="27" t="s">
        <v>54</v>
      </c>
      <c r="AE2" s="27" t="s">
        <v>55</v>
      </c>
      <c r="AF2" s="27" t="s">
        <v>629</v>
      </c>
      <c r="AG2" s="99"/>
      <c r="AH2" s="27" t="s">
        <v>717</v>
      </c>
      <c r="AI2" s="27" t="s">
        <v>626</v>
      </c>
      <c r="AJ2" s="27">
        <v>2008</v>
      </c>
      <c r="AK2" s="27" t="s">
        <v>403</v>
      </c>
      <c r="AL2" s="27">
        <v>2010</v>
      </c>
      <c r="AM2" s="89"/>
      <c r="AN2" s="89"/>
      <c r="AO2" s="90"/>
      <c r="AHA2" t="s">
        <v>717</v>
      </c>
    </row>
    <row r="3" spans="1:885">
      <c r="A3" s="1"/>
      <c r="B3" s="50" t="s">
        <v>232</v>
      </c>
      <c r="C3" s="178" t="s">
        <v>226</v>
      </c>
      <c r="D3" s="27" t="s">
        <v>36</v>
      </c>
      <c r="E3" s="27" t="s">
        <v>36</v>
      </c>
      <c r="F3" s="27" t="s">
        <v>36</v>
      </c>
      <c r="G3" s="27" t="s">
        <v>36</v>
      </c>
      <c r="H3" s="27" t="s">
        <v>36</v>
      </c>
      <c r="I3" s="27" t="s">
        <v>36</v>
      </c>
      <c r="J3" s="27" t="s">
        <v>36</v>
      </c>
      <c r="K3" s="27" t="s">
        <v>36</v>
      </c>
      <c r="L3" s="27" t="s">
        <v>36</v>
      </c>
      <c r="M3" s="27" t="s">
        <v>36</v>
      </c>
      <c r="N3" s="27" t="s">
        <v>36</v>
      </c>
      <c r="O3" s="27" t="s">
        <v>36</v>
      </c>
      <c r="P3" s="27" t="s">
        <v>36</v>
      </c>
      <c r="Q3" s="27" t="s">
        <v>36</v>
      </c>
      <c r="R3" s="27" t="s">
        <v>36</v>
      </c>
      <c r="S3" s="27" t="s">
        <v>418</v>
      </c>
      <c r="T3" s="27" t="s">
        <v>36</v>
      </c>
      <c r="U3" s="27" t="s">
        <v>36</v>
      </c>
      <c r="V3" s="27" t="s">
        <v>36</v>
      </c>
      <c r="W3" s="27" t="s">
        <v>36</v>
      </c>
      <c r="X3" s="27" t="s">
        <v>36</v>
      </c>
      <c r="Y3" s="27" t="s">
        <v>36</v>
      </c>
      <c r="Z3" s="27" t="s">
        <v>36</v>
      </c>
      <c r="AA3" s="27" t="s">
        <v>36</v>
      </c>
      <c r="AB3" s="27" t="s">
        <v>36</v>
      </c>
      <c r="AC3" s="27" t="s">
        <v>36</v>
      </c>
      <c r="AD3" s="27" t="s">
        <v>36</v>
      </c>
      <c r="AE3" s="27" t="s">
        <v>36</v>
      </c>
      <c r="AF3" s="27" t="s">
        <v>36</v>
      </c>
      <c r="AG3" s="99"/>
      <c r="AH3" s="27" t="s">
        <v>36</v>
      </c>
      <c r="AI3" s="27" t="s">
        <v>36</v>
      </c>
      <c r="AJ3" s="27" t="s">
        <v>241</v>
      </c>
      <c r="AK3" s="27" t="s">
        <v>36</v>
      </c>
      <c r="AL3" s="27" t="s">
        <v>36</v>
      </c>
      <c r="AM3"/>
      <c r="AN3"/>
      <c r="AO3"/>
    </row>
    <row r="4" spans="1:885">
      <c r="A4" s="2">
        <v>1</v>
      </c>
      <c r="B4" s="6" t="s">
        <v>3</v>
      </c>
      <c r="C4" s="100">
        <v>238.16539263377345</v>
      </c>
      <c r="D4" s="39">
        <v>265.64035999999999</v>
      </c>
      <c r="E4" s="39">
        <v>235.75362369589035</v>
      </c>
      <c r="F4" s="39">
        <v>336.95761492252348</v>
      </c>
      <c r="G4" s="39">
        <v>224.81659361993823</v>
      </c>
      <c r="H4" s="39">
        <v>293.06174608274893</v>
      </c>
      <c r="I4" s="39">
        <v>240.1075538143923</v>
      </c>
      <c r="J4" s="39">
        <v>204.16514446634596</v>
      </c>
      <c r="K4" s="39">
        <v>244.04724475299739</v>
      </c>
      <c r="L4" s="39">
        <v>230</v>
      </c>
      <c r="M4" s="39">
        <v>237.61400343162168</v>
      </c>
      <c r="N4" s="39">
        <v>267.96129000000002</v>
      </c>
      <c r="O4" s="39">
        <v>176.70905816185982</v>
      </c>
      <c r="P4" s="39">
        <v>368</v>
      </c>
      <c r="Q4" s="39">
        <v>344.45236719336691</v>
      </c>
      <c r="R4" s="39">
        <v>329.93842687466713</v>
      </c>
      <c r="S4" s="39">
        <v>315.21515016090154</v>
      </c>
      <c r="T4" s="39">
        <v>284.68813449673746</v>
      </c>
      <c r="U4" s="39">
        <v>348.90261010784718</v>
      </c>
      <c r="V4" s="39">
        <v>242.78703277641156</v>
      </c>
      <c r="W4" s="39">
        <v>270</v>
      </c>
      <c r="X4" s="39">
        <v>275.40402506165259</v>
      </c>
      <c r="Y4" s="39">
        <v>214</v>
      </c>
      <c r="Z4" s="39">
        <v>295.04895104895104</v>
      </c>
      <c r="AA4" s="39">
        <v>264.63245492371703</v>
      </c>
      <c r="AB4" s="39">
        <v>202.00473289999999</v>
      </c>
      <c r="AC4" s="39">
        <v>293.40687177497603</v>
      </c>
      <c r="AD4" s="39">
        <v>246.31598740000001</v>
      </c>
      <c r="AE4" s="39">
        <v>262.26490986792737</v>
      </c>
      <c r="AF4" s="39">
        <v>278.20709228515631</v>
      </c>
      <c r="AG4" s="99"/>
      <c r="AH4" s="39">
        <v>281.92391264802433</v>
      </c>
      <c r="AI4" s="39">
        <v>321.45753092527389</v>
      </c>
      <c r="AJ4" s="39">
        <v>339.76405274115194</v>
      </c>
      <c r="AK4" s="39">
        <v>294.97941550600137</v>
      </c>
      <c r="AL4" s="39">
        <v>240.57606000000001</v>
      </c>
      <c r="AM4"/>
      <c r="AN4"/>
      <c r="AO4"/>
      <c r="AHA4">
        <v>281.92391264802433</v>
      </c>
    </row>
    <row r="5" spans="1:885">
      <c r="A5" s="3">
        <v>1.1000000000000001</v>
      </c>
      <c r="B5" s="7" t="s">
        <v>4</v>
      </c>
      <c r="C5" s="101">
        <v>186.12925642807505</v>
      </c>
      <c r="D5" s="67">
        <v>208.70751626374201</v>
      </c>
      <c r="E5" s="67">
        <v>168.11866086381502</v>
      </c>
      <c r="F5" s="67">
        <v>251.3715777397156</v>
      </c>
      <c r="G5" s="67">
        <v>176.72095918446934</v>
      </c>
      <c r="H5" s="67">
        <v>234.38123284267019</v>
      </c>
      <c r="I5" s="67">
        <v>191.28816058312989</v>
      </c>
      <c r="J5" s="67">
        <v>144.76130848462111</v>
      </c>
      <c r="K5" s="67">
        <v>198.36848616355559</v>
      </c>
      <c r="L5" s="67">
        <v>166</v>
      </c>
      <c r="M5" s="67">
        <v>170.90273268935738</v>
      </c>
      <c r="N5" s="67">
        <v>208.47110000000001</v>
      </c>
      <c r="O5" s="67">
        <v>121.8345330478835</v>
      </c>
      <c r="P5" s="67">
        <v>294</v>
      </c>
      <c r="Q5" s="67">
        <v>230.72139986226324</v>
      </c>
      <c r="R5" s="67">
        <v>280.03068615108344</v>
      </c>
      <c r="S5" s="67">
        <v>274.81396266072852</v>
      </c>
      <c r="T5" s="67">
        <v>212.39525252605594</v>
      </c>
      <c r="U5" s="67">
        <v>270.03896210376962</v>
      </c>
      <c r="V5" s="67">
        <v>182.55765229092233</v>
      </c>
      <c r="W5" s="67">
        <v>217.99999999999997</v>
      </c>
      <c r="X5" s="67">
        <v>220.66694085295239</v>
      </c>
      <c r="Y5" s="67">
        <v>184</v>
      </c>
      <c r="Z5" s="67">
        <v>233.62237762237763</v>
      </c>
      <c r="AA5" s="67">
        <v>201.71983356449374</v>
      </c>
      <c r="AB5" s="67">
        <v>151.30969999999999</v>
      </c>
      <c r="AC5" s="67">
        <v>231.18500526570702</v>
      </c>
      <c r="AD5" s="67">
        <v>186.36600000000001</v>
      </c>
      <c r="AE5" s="67">
        <v>193.70713094438065</v>
      </c>
      <c r="AF5" s="67">
        <v>227.18132584147639</v>
      </c>
      <c r="AG5" s="99"/>
      <c r="AH5" s="67">
        <v>228.31294551728931</v>
      </c>
      <c r="AI5" s="67">
        <v>257.39976807117461</v>
      </c>
      <c r="AJ5" s="67">
        <v>267.81401804302567</v>
      </c>
      <c r="AK5" s="67">
        <v>239.51828539850592</v>
      </c>
      <c r="AL5" s="67">
        <v>152.7003</v>
      </c>
      <c r="AM5"/>
      <c r="AN5"/>
      <c r="AO5"/>
      <c r="AHA5">
        <v>228.31294551728931</v>
      </c>
    </row>
    <row r="6" spans="1:885">
      <c r="A6" s="3">
        <v>1.2</v>
      </c>
      <c r="B6" s="7" t="s">
        <v>5</v>
      </c>
      <c r="C6" s="101">
        <v>25.017373175816541</v>
      </c>
      <c r="D6" s="67">
        <v>24.332929513360899</v>
      </c>
      <c r="E6" s="67">
        <v>26.357791324947797</v>
      </c>
      <c r="F6" s="67">
        <v>28.72818031311035</v>
      </c>
      <c r="G6" s="67">
        <v>23.050636731096279</v>
      </c>
      <c r="H6" s="67">
        <v>28.66819106942231</v>
      </c>
      <c r="I6" s="67">
        <v>16.542244522284388</v>
      </c>
      <c r="J6" s="67">
        <v>22.930911344006191</v>
      </c>
      <c r="K6" s="67">
        <v>20.678676075179681</v>
      </c>
      <c r="L6" s="67">
        <v>26</v>
      </c>
      <c r="M6" s="67">
        <v>28.54403949105318</v>
      </c>
      <c r="N6" s="67">
        <v>22.753419999999998</v>
      </c>
      <c r="O6" s="67">
        <v>21.329230852515245</v>
      </c>
      <c r="P6" s="67">
        <v>40</v>
      </c>
      <c r="Q6" s="67">
        <v>56.875446061423496</v>
      </c>
      <c r="R6" s="67">
        <v>36.527166244306741</v>
      </c>
      <c r="S6" s="67">
        <v>28.833324322862239</v>
      </c>
      <c r="T6" s="67">
        <v>34.830208739318444</v>
      </c>
      <c r="U6" s="67">
        <v>38.206401148393972</v>
      </c>
      <c r="V6" s="67">
        <v>31.028050726163666</v>
      </c>
      <c r="W6" s="67">
        <v>23</v>
      </c>
      <c r="X6" s="67">
        <v>20.59840029049013</v>
      </c>
      <c r="Y6" s="67">
        <v>20</v>
      </c>
      <c r="Z6" s="67">
        <v>25.174825174825177</v>
      </c>
      <c r="AA6" s="67">
        <v>24.965325936199722</v>
      </c>
      <c r="AB6" s="67">
        <v>21.434830000000002</v>
      </c>
      <c r="AC6" s="67">
        <v>31.002131725155394</v>
      </c>
      <c r="AD6" s="67">
        <v>30.661840000000002</v>
      </c>
      <c r="AE6" s="67">
        <v>39.168777853055737</v>
      </c>
      <c r="AF6" s="67">
        <v>19.627939691425301</v>
      </c>
      <c r="AG6" s="99"/>
      <c r="AH6" s="67">
        <v>33.522692525596767</v>
      </c>
      <c r="AI6" s="67">
        <v>33.650979542732237</v>
      </c>
      <c r="AJ6" s="67">
        <v>46.967383761276892</v>
      </c>
      <c r="AK6" s="67">
        <v>32.022697414327233</v>
      </c>
      <c r="AL6" s="67">
        <v>36.102179999999997</v>
      </c>
      <c r="AM6"/>
      <c r="AN6"/>
      <c r="AO6"/>
      <c r="AHA6">
        <v>33.522692525596767</v>
      </c>
    </row>
    <row r="7" spans="1:885">
      <c r="A7" s="3">
        <v>1.3</v>
      </c>
      <c r="B7" s="7" t="s">
        <v>6</v>
      </c>
      <c r="C7" s="101">
        <v>16.011118832522584</v>
      </c>
      <c r="D7" s="67">
        <v>16.571780791717799</v>
      </c>
      <c r="E7" s="67">
        <v>26.533761297008716</v>
      </c>
      <c r="F7" s="67">
        <v>24.538654017448419</v>
      </c>
      <c r="G7" s="67">
        <v>16.321164845099307</v>
      </c>
      <c r="H7" s="67">
        <v>20.944752171632789</v>
      </c>
      <c r="I7" s="67">
        <v>18.337798846401771</v>
      </c>
      <c r="J7" s="67">
        <v>23.727361390687015</v>
      </c>
      <c r="K7" s="67">
        <v>16.130880647095299</v>
      </c>
      <c r="L7" s="67">
        <v>22</v>
      </c>
      <c r="M7" s="67">
        <v>27.241528321700013</v>
      </c>
      <c r="N7" s="67">
        <v>36.73677</v>
      </c>
      <c r="O7" s="67">
        <v>13.01561670575345</v>
      </c>
      <c r="P7" s="230">
        <v>34</v>
      </c>
      <c r="Q7" s="67">
        <v>37.180674148466046</v>
      </c>
      <c r="R7" s="67">
        <v>9.6898982115359686</v>
      </c>
      <c r="S7" s="67">
        <v>8.4953832839128811</v>
      </c>
      <c r="T7" s="67">
        <v>24.877113442515157</v>
      </c>
      <c r="U7" s="67">
        <v>30.391351181680189</v>
      </c>
      <c r="V7" s="67">
        <v>13.555484329213233</v>
      </c>
      <c r="W7" s="67">
        <v>18</v>
      </c>
      <c r="X7" s="67">
        <v>26.064617559726461</v>
      </c>
      <c r="Y7" s="67">
        <v>6</v>
      </c>
      <c r="Z7" s="67">
        <v>27.18881118881119</v>
      </c>
      <c r="AA7" s="67">
        <v>20.970873786407768</v>
      </c>
      <c r="AB7" s="67">
        <v>17.858779999999999</v>
      </c>
      <c r="AC7" s="67">
        <v>31.219734784113403</v>
      </c>
      <c r="AD7" s="67">
        <v>16.899139999999999</v>
      </c>
      <c r="AE7" s="67">
        <v>13.671940217377509</v>
      </c>
      <c r="AF7" s="67">
        <v>17.638433406029911</v>
      </c>
      <c r="AG7" s="99"/>
      <c r="AH7" s="67">
        <v>14.0279687974726</v>
      </c>
      <c r="AI7" s="67">
        <v>19.14277279376984</v>
      </c>
      <c r="AJ7" s="67">
        <v>24.98265093684941</v>
      </c>
      <c r="AK7" s="67">
        <v>12.009144181605688</v>
      </c>
      <c r="AL7" s="67">
        <v>25.658950000000001</v>
      </c>
      <c r="AM7"/>
      <c r="AN7"/>
      <c r="AO7"/>
      <c r="AHA7">
        <v>14.0279687974726</v>
      </c>
    </row>
    <row r="8" spans="1:885">
      <c r="A8" s="3">
        <v>1.4</v>
      </c>
      <c r="B8" s="8" t="s">
        <v>7</v>
      </c>
      <c r="C8" s="101">
        <v>11.007644197359276</v>
      </c>
      <c r="D8" s="67">
        <v>10.7751270180944</v>
      </c>
      <c r="E8" s="67">
        <v>14.743410210118807</v>
      </c>
      <c r="F8" s="67">
        <v>13.167082643508911</v>
      </c>
      <c r="G8" s="67">
        <v>8.7238328592733474</v>
      </c>
      <c r="H8" s="67">
        <v>9.0675597383022932</v>
      </c>
      <c r="I8" s="67">
        <v>13.93934533661991</v>
      </c>
      <c r="J8" s="67">
        <v>10.37714060821574</v>
      </c>
      <c r="K8" s="67">
        <v>8.8692044909184915</v>
      </c>
      <c r="L8" s="67">
        <v>14</v>
      </c>
      <c r="M8" s="67">
        <v>10.925702929511088</v>
      </c>
      <c r="N8" s="67" t="s">
        <v>248</v>
      </c>
      <c r="O8" s="67">
        <v>14.798889788736966</v>
      </c>
      <c r="P8" s="230"/>
      <c r="Q8" s="67">
        <v>19.674847121214164</v>
      </c>
      <c r="R8" s="67">
        <v>3.6906762677409524</v>
      </c>
      <c r="S8" s="67">
        <v>3.0724798933979569</v>
      </c>
      <c r="T8" s="67">
        <v>12.58555978884797</v>
      </c>
      <c r="U8" s="67">
        <v>9.6549281384277741</v>
      </c>
      <c r="V8" s="67">
        <v>11.60119212909259</v>
      </c>
      <c r="W8" s="67">
        <v>11</v>
      </c>
      <c r="X8" s="67">
        <v>8.0740813729130423</v>
      </c>
      <c r="Y8" s="67">
        <v>3</v>
      </c>
      <c r="Z8" s="67">
        <v>9.0629370629370634</v>
      </c>
      <c r="AA8" s="67">
        <v>16.976421636615811</v>
      </c>
      <c r="AB8" s="67">
        <v>8.3775230000000001</v>
      </c>
      <c r="AC8" s="67" t="s">
        <v>248</v>
      </c>
      <c r="AD8" s="67">
        <v>12.142300000000001</v>
      </c>
      <c r="AE8" s="67">
        <v>13.099735796873963</v>
      </c>
      <c r="AF8" s="67">
        <v>12.148153525947169</v>
      </c>
      <c r="AG8" s="99"/>
      <c r="AH8" s="67">
        <v>6.0603031529140026</v>
      </c>
      <c r="AI8" s="67">
        <v>9.974392139911652</v>
      </c>
      <c r="AJ8" s="67" t="s">
        <v>248</v>
      </c>
      <c r="AK8" s="67">
        <v>11.429288511562502</v>
      </c>
      <c r="AL8" s="67">
        <v>13.15171</v>
      </c>
      <c r="AM8"/>
      <c r="AN8"/>
      <c r="AO8"/>
      <c r="AHA8">
        <v>6.0603031529140026</v>
      </c>
    </row>
    <row r="9" spans="1:885">
      <c r="A9" s="3">
        <v>1.5</v>
      </c>
      <c r="B9" s="8" t="s">
        <v>8</v>
      </c>
      <c r="C9" s="101" t="s">
        <v>248</v>
      </c>
      <c r="D9" s="67">
        <v>1.8271583294803599</v>
      </c>
      <c r="E9" s="67" t="s">
        <v>248</v>
      </c>
      <c r="F9" s="67" t="s">
        <v>248</v>
      </c>
      <c r="G9" s="67" t="s">
        <v>248</v>
      </c>
      <c r="H9" s="67" t="s">
        <v>248</v>
      </c>
      <c r="I9" s="67" t="s">
        <v>248</v>
      </c>
      <c r="J9" s="67">
        <v>2.0235601186031063</v>
      </c>
      <c r="K9" s="67" t="s">
        <v>248</v>
      </c>
      <c r="L9" s="121">
        <v>2</v>
      </c>
      <c r="M9" s="67" t="s">
        <v>248</v>
      </c>
      <c r="N9" s="67" t="s">
        <v>248</v>
      </c>
      <c r="O9" s="67">
        <v>2.5060850026540029</v>
      </c>
      <c r="P9" s="67" t="s">
        <v>248</v>
      </c>
      <c r="Q9" s="67" t="s">
        <v>248</v>
      </c>
      <c r="R9" s="67" t="s">
        <v>248</v>
      </c>
      <c r="S9" s="67" t="s">
        <v>248</v>
      </c>
      <c r="T9" s="67" t="s">
        <v>248</v>
      </c>
      <c r="U9" s="67">
        <v>0.61096753557561911</v>
      </c>
      <c r="V9" s="67">
        <v>1.1408786776647117</v>
      </c>
      <c r="W9" s="67" t="s">
        <v>248</v>
      </c>
      <c r="X9" s="67" t="s">
        <v>248</v>
      </c>
      <c r="Y9" s="67" t="s">
        <v>248</v>
      </c>
      <c r="Z9" s="67"/>
      <c r="AA9" s="67" t="s">
        <v>248</v>
      </c>
      <c r="AB9" s="67">
        <v>2.5337700000000001</v>
      </c>
      <c r="AC9" s="67" t="s">
        <v>248</v>
      </c>
      <c r="AD9" s="67" t="s">
        <v>248</v>
      </c>
      <c r="AE9" s="67">
        <v>1.7927450356366266</v>
      </c>
      <c r="AF9" s="67">
        <v>1.6112334140611251</v>
      </c>
      <c r="AG9" s="99"/>
      <c r="AH9" s="67" t="s">
        <v>248</v>
      </c>
      <c r="AI9" s="67">
        <v>1.2090172290801999</v>
      </c>
      <c r="AJ9" s="67" t="s">
        <v>248</v>
      </c>
      <c r="AK9" s="67" t="s">
        <v>248</v>
      </c>
      <c r="AL9" s="67" t="s">
        <v>248</v>
      </c>
      <c r="AM9"/>
      <c r="AN9"/>
      <c r="AO9"/>
      <c r="AHA9" t="s">
        <v>248</v>
      </c>
    </row>
    <row r="10" spans="1:885">
      <c r="A10" s="3">
        <v>1.6</v>
      </c>
      <c r="B10" s="8" t="s">
        <v>9</v>
      </c>
      <c r="C10" s="101" t="s">
        <v>248</v>
      </c>
      <c r="D10" s="67">
        <v>3.4258443816534498</v>
      </c>
      <c r="E10" s="67" t="s">
        <v>248</v>
      </c>
      <c r="F10" s="67">
        <v>18.553616452217099</v>
      </c>
      <c r="G10" s="67" t="s">
        <v>248</v>
      </c>
      <c r="H10" s="67" t="s">
        <v>248</v>
      </c>
      <c r="I10" s="67" t="s">
        <v>248</v>
      </c>
      <c r="J10" s="67">
        <v>0.34486252021277547</v>
      </c>
      <c r="K10" s="67" t="s">
        <v>248</v>
      </c>
      <c r="L10" s="121" t="s">
        <v>248</v>
      </c>
      <c r="M10" s="67" t="s">
        <v>248</v>
      </c>
      <c r="N10" s="67" t="s">
        <v>248</v>
      </c>
      <c r="O10" s="67">
        <v>3.2247027643166408</v>
      </c>
      <c r="P10" s="67" t="s">
        <v>248</v>
      </c>
      <c r="Q10" s="67" t="s">
        <v>248</v>
      </c>
      <c r="R10" s="67" t="s">
        <v>248</v>
      </c>
      <c r="S10" s="67" t="s">
        <v>248</v>
      </c>
      <c r="T10" s="67" t="s">
        <v>248</v>
      </c>
      <c r="U10" s="67">
        <v>0</v>
      </c>
      <c r="V10" s="67">
        <v>2.9037746233550226</v>
      </c>
      <c r="W10" s="67" t="s">
        <v>248</v>
      </c>
      <c r="X10" s="67" t="s">
        <v>248</v>
      </c>
      <c r="Y10" s="67">
        <v>1</v>
      </c>
      <c r="Z10" s="67"/>
      <c r="AA10" s="67" t="s">
        <v>248</v>
      </c>
      <c r="AB10" s="67">
        <v>0.5</v>
      </c>
      <c r="AC10" s="67" t="s">
        <v>248</v>
      </c>
      <c r="AD10" s="67">
        <v>0</v>
      </c>
      <c r="AE10" s="67">
        <v>0.82458002060285729</v>
      </c>
      <c r="AF10" s="67">
        <v>0</v>
      </c>
      <c r="AG10" s="99"/>
      <c r="AH10" s="67" t="s">
        <v>248</v>
      </c>
      <c r="AI10" s="67">
        <v>0.50375717878341675</v>
      </c>
      <c r="AJ10" s="67" t="s">
        <v>248</v>
      </c>
      <c r="AK10" s="67" t="s">
        <v>248</v>
      </c>
      <c r="AL10" s="67">
        <v>12.96292</v>
      </c>
      <c r="AM10"/>
      <c r="AN10"/>
      <c r="AO10"/>
      <c r="AHA10" t="s">
        <v>248</v>
      </c>
    </row>
    <row r="11" spans="1:885">
      <c r="A11" s="4">
        <v>2</v>
      </c>
      <c r="B11" s="9" t="s">
        <v>10</v>
      </c>
      <c r="C11" s="102">
        <v>243.16886726893674</v>
      </c>
      <c r="D11" s="43">
        <v>187.97064</v>
      </c>
      <c r="E11" s="43">
        <v>191.82015613289278</v>
      </c>
      <c r="F11" s="43">
        <v>205.28678848743439</v>
      </c>
      <c r="G11" s="43">
        <v>216.62734139108395</v>
      </c>
      <c r="H11" s="43">
        <v>173.66097602715851</v>
      </c>
      <c r="I11" s="43">
        <v>185.5460387639705</v>
      </c>
      <c r="J11" s="43">
        <v>181.09854971438716</v>
      </c>
      <c r="K11" s="43">
        <v>192.35433574911079</v>
      </c>
      <c r="L11" s="43">
        <v>184</v>
      </c>
      <c r="M11" s="43">
        <v>229.15895598637951</v>
      </c>
      <c r="N11" s="43">
        <v>209.641482</v>
      </c>
      <c r="O11" s="43">
        <v>219.0387454375628</v>
      </c>
      <c r="P11" s="43">
        <v>125</v>
      </c>
      <c r="Q11" s="43">
        <v>131.70642802559914</v>
      </c>
      <c r="R11" s="43">
        <v>196.07454389135427</v>
      </c>
      <c r="S11" s="43">
        <v>224.47132506809609</v>
      </c>
      <c r="T11" s="43">
        <v>179.15560398654182</v>
      </c>
      <c r="U11" s="43">
        <v>256.03235687284553</v>
      </c>
      <c r="V11" s="43">
        <v>185.56138244143753</v>
      </c>
      <c r="W11" s="43">
        <v>204</v>
      </c>
      <c r="X11" s="43">
        <v>185.58168748724711</v>
      </c>
      <c r="Y11" s="43">
        <v>248</v>
      </c>
      <c r="Z11" s="43">
        <v>222.54545454545453</v>
      </c>
      <c r="AA11" s="43">
        <v>230.67961165048544</v>
      </c>
      <c r="AB11" s="43">
        <v>216.72910549999997</v>
      </c>
      <c r="AC11" s="43">
        <v>196.499173777816</v>
      </c>
      <c r="AD11" s="43">
        <v>186.08949200000004</v>
      </c>
      <c r="AE11" s="43">
        <v>194.52788505857268</v>
      </c>
      <c r="AF11" s="43">
        <v>197.1237487792969</v>
      </c>
      <c r="AG11" s="99"/>
      <c r="AH11" s="43">
        <v>188.9728843054618</v>
      </c>
      <c r="AI11" s="43">
        <v>202.9133916139603</v>
      </c>
      <c r="AJ11" s="43">
        <v>163.88619014573212</v>
      </c>
      <c r="AK11" s="43">
        <v>191.14614411902261</v>
      </c>
      <c r="AL11" s="43">
        <v>182.2847917</v>
      </c>
      <c r="AM11"/>
      <c r="AN11"/>
      <c r="AO11"/>
      <c r="AHA11">
        <v>188.9728843054618</v>
      </c>
    </row>
    <row r="12" spans="1:885">
      <c r="A12" s="3">
        <v>2.1</v>
      </c>
      <c r="B12" s="7" t="s">
        <v>11</v>
      </c>
      <c r="C12" s="101">
        <v>132.09173036831132</v>
      </c>
      <c r="D12" s="67">
        <v>114.560634327966</v>
      </c>
      <c r="E12" s="67">
        <v>120.53960311565456</v>
      </c>
      <c r="F12" s="67">
        <v>90.972570991516122</v>
      </c>
      <c r="G12" s="67">
        <v>127.55955140937537</v>
      </c>
      <c r="H12" s="67">
        <v>101.64389894435941</v>
      </c>
      <c r="I12" s="67">
        <v>107.7223952460873</v>
      </c>
      <c r="J12" s="67">
        <v>128.50020753153993</v>
      </c>
      <c r="K12" s="67">
        <v>110.53971378119449</v>
      </c>
      <c r="L12" s="67">
        <v>105</v>
      </c>
      <c r="M12" s="67">
        <v>149.95613874609404</v>
      </c>
      <c r="N12" s="67">
        <v>90.748580000000004</v>
      </c>
      <c r="O12" s="67">
        <v>134.71427265092865</v>
      </c>
      <c r="P12" s="67">
        <v>78</v>
      </c>
      <c r="Q12" s="67">
        <v>76.162790481758975</v>
      </c>
      <c r="R12" s="67">
        <v>129.98320871142414</v>
      </c>
      <c r="S12" s="67">
        <v>154.41828732696882</v>
      </c>
      <c r="T12" s="67">
        <v>107.93013211584199</v>
      </c>
      <c r="U12" s="67">
        <v>185.33514145269959</v>
      </c>
      <c r="V12" s="67">
        <v>104.93934061698035</v>
      </c>
      <c r="W12" s="67">
        <v>110.00000000000001</v>
      </c>
      <c r="X12" s="67">
        <v>106.55889197519799</v>
      </c>
      <c r="Y12" s="67">
        <v>154</v>
      </c>
      <c r="Z12" s="67">
        <v>161.11888111888112</v>
      </c>
      <c r="AA12" s="67">
        <v>165.76976421636616</v>
      </c>
      <c r="AB12" s="67">
        <v>115.8587</v>
      </c>
      <c r="AC12" s="67">
        <v>107.15987953726221</v>
      </c>
      <c r="AD12" s="67">
        <v>123.8981</v>
      </c>
      <c r="AE12" s="67">
        <v>103.6219686563652</v>
      </c>
      <c r="AF12" s="67">
        <v>109.8746843938452</v>
      </c>
      <c r="AG12" s="99"/>
      <c r="AH12" s="67">
        <v>122.2679107100826</v>
      </c>
      <c r="AI12" s="67">
        <v>100.85218719244</v>
      </c>
      <c r="AJ12" s="67">
        <v>102.92852185981958</v>
      </c>
      <c r="AK12" s="67">
        <v>148.40091167636444</v>
      </c>
      <c r="AL12" s="67">
        <v>130.30510000000001</v>
      </c>
      <c r="AM12"/>
      <c r="AN12"/>
      <c r="AO12"/>
      <c r="AHA12">
        <v>122.2679107100826</v>
      </c>
    </row>
    <row r="13" spans="1:885">
      <c r="A13" s="3">
        <v>2.2000000000000002</v>
      </c>
      <c r="B13" s="7" t="s">
        <v>12</v>
      </c>
      <c r="C13" s="101">
        <v>29.020152883947183</v>
      </c>
      <c r="D13" s="67">
        <v>21.755698799210698</v>
      </c>
      <c r="E13" s="67">
        <v>28.595905636097093</v>
      </c>
      <c r="F13" s="67">
        <v>20.349127721786498</v>
      </c>
      <c r="G13" s="67">
        <v>26.030902859860817</v>
      </c>
      <c r="H13" s="67">
        <v>19.759048992993939</v>
      </c>
      <c r="I13" s="67">
        <v>26.21516826298944</v>
      </c>
      <c r="J13" s="67">
        <v>22.105101295604548</v>
      </c>
      <c r="K13" s="67">
        <v>19.781863175586299</v>
      </c>
      <c r="L13" s="67">
        <v>17</v>
      </c>
      <c r="M13" s="67">
        <v>19.211990696384206</v>
      </c>
      <c r="N13" s="67">
        <v>27.566739999999999</v>
      </c>
      <c r="O13" s="67">
        <v>27.742728221016407</v>
      </c>
      <c r="P13" s="67">
        <v>24</v>
      </c>
      <c r="Q13" s="67">
        <v>13.27159646951012</v>
      </c>
      <c r="R13" s="67">
        <v>15.851147895986966</v>
      </c>
      <c r="S13" s="67">
        <v>17.276902280156335</v>
      </c>
      <c r="T13" s="67">
        <v>23.030768700502957</v>
      </c>
      <c r="U13" s="67">
        <v>14.48818036432197</v>
      </c>
      <c r="V13" s="67">
        <v>28.202490621798834</v>
      </c>
      <c r="W13" s="67">
        <v>24</v>
      </c>
      <c r="X13" s="67">
        <v>26.86311541965097</v>
      </c>
      <c r="Y13" s="67">
        <v>26</v>
      </c>
      <c r="Z13" s="67">
        <v>15.104895104895105</v>
      </c>
      <c r="AA13" s="67">
        <v>17.975034674063799</v>
      </c>
      <c r="AB13" s="67">
        <v>25.443760000000001</v>
      </c>
      <c r="AC13" s="67">
        <v>23.455743314803502</v>
      </c>
      <c r="AD13" s="67">
        <v>13.95561</v>
      </c>
      <c r="AE13" s="67">
        <v>29.412386202766559</v>
      </c>
      <c r="AF13" s="67">
        <v>19.008973992448819</v>
      </c>
      <c r="AG13" s="99"/>
      <c r="AH13" s="67">
        <v>18.57080643831614</v>
      </c>
      <c r="AI13" s="67">
        <v>15.112715363502501</v>
      </c>
      <c r="AJ13" s="67">
        <v>19.986120749479529</v>
      </c>
      <c r="AK13" s="67">
        <v>11.568416441556378</v>
      </c>
      <c r="AL13" s="67">
        <v>9.4800880000000003</v>
      </c>
      <c r="AM13"/>
      <c r="AN13"/>
      <c r="AO13"/>
      <c r="AHA13">
        <v>18.57080643831614</v>
      </c>
    </row>
    <row r="14" spans="1:885">
      <c r="A14" s="3">
        <v>2.2999999999999998</v>
      </c>
      <c r="B14" s="10" t="s">
        <v>13</v>
      </c>
      <c r="C14" s="101">
        <v>44.53092425295344</v>
      </c>
      <c r="D14" s="67">
        <v>25.869386322469101</v>
      </c>
      <c r="E14" s="67">
        <v>22</v>
      </c>
      <c r="F14" s="67">
        <v>47.281796765327456</v>
      </c>
      <c r="G14" s="67">
        <v>28.495650686690823</v>
      </c>
      <c r="H14" s="67">
        <v>24.435127885392379</v>
      </c>
      <c r="I14" s="67">
        <v>25.257197667763879</v>
      </c>
      <c r="J14" s="67">
        <v>22.116559396276116</v>
      </c>
      <c r="K14" s="67">
        <v>28.34552366491198</v>
      </c>
      <c r="L14" s="67">
        <v>21</v>
      </c>
      <c r="M14" s="67">
        <v>33</v>
      </c>
      <c r="N14" s="67">
        <v>60.755940000000002</v>
      </c>
      <c r="O14" s="67">
        <v>26.621509337390592</v>
      </c>
      <c r="P14" s="67" t="s">
        <v>558</v>
      </c>
      <c r="Q14" s="67">
        <v>27.695620733488894</v>
      </c>
      <c r="R14" s="67">
        <v>15</v>
      </c>
      <c r="S14" s="67">
        <v>19</v>
      </c>
      <c r="T14" s="67">
        <v>20</v>
      </c>
      <c r="U14" s="67">
        <v>27.825162060550991</v>
      </c>
      <c r="V14" s="67">
        <v>21.573036181474887</v>
      </c>
      <c r="W14" s="67">
        <v>30</v>
      </c>
      <c r="X14" s="67">
        <v>29.550669679720158</v>
      </c>
      <c r="Y14" s="67" t="s">
        <v>248</v>
      </c>
      <c r="Z14" s="67">
        <v>17.118881118881117</v>
      </c>
      <c r="AA14" s="67">
        <v>20.970873786407768</v>
      </c>
      <c r="AB14" s="67">
        <v>35</v>
      </c>
      <c r="AC14" s="67">
        <v>32.536489508994187</v>
      </c>
      <c r="AD14" s="67">
        <v>28.504801</v>
      </c>
      <c r="AE14" s="67">
        <v>32.05350676738788</v>
      </c>
      <c r="AF14" s="67">
        <v>30.776621307969069</v>
      </c>
      <c r="AG14" s="99"/>
      <c r="AH14" s="67">
        <v>25.521335011277191</v>
      </c>
      <c r="AI14" s="67">
        <v>27.60589339733124</v>
      </c>
      <c r="AJ14" s="67">
        <v>22.984038861901457</v>
      </c>
      <c r="AK14" s="67">
        <v>21.451138074992837</v>
      </c>
      <c r="AL14" s="67">
        <v>17.751244999999997</v>
      </c>
      <c r="AM14"/>
      <c r="AN14"/>
      <c r="AO14"/>
      <c r="AHA14">
        <v>25.521335011277191</v>
      </c>
    </row>
    <row r="15" spans="1:885">
      <c r="A15" s="3" t="s">
        <v>0</v>
      </c>
      <c r="B15" s="10" t="s">
        <v>14</v>
      </c>
      <c r="C15" s="101" t="s">
        <v>248</v>
      </c>
      <c r="D15" s="67">
        <v>24.752870000000001</v>
      </c>
      <c r="E15" s="67">
        <v>21.892779274580693</v>
      </c>
      <c r="F15" s="67">
        <v>41.296759200096133</v>
      </c>
      <c r="G15" s="67" t="s">
        <v>248</v>
      </c>
      <c r="H15" s="67">
        <v>22.945340834706371</v>
      </c>
      <c r="I15" s="67">
        <v>24.045332830560771</v>
      </c>
      <c r="J15" s="67">
        <v>21.187871241844675</v>
      </c>
      <c r="K15" s="67">
        <v>27.541795037451269</v>
      </c>
      <c r="L15" s="67">
        <v>19</v>
      </c>
      <c r="M15" s="67">
        <v>32.744937804741149</v>
      </c>
      <c r="N15" s="67" t="s">
        <v>248</v>
      </c>
      <c r="O15" s="67">
        <v>24.566652258315219</v>
      </c>
      <c r="P15" s="67">
        <v>20</v>
      </c>
      <c r="Q15" s="67" t="s">
        <v>248</v>
      </c>
      <c r="R15" s="67">
        <v>15</v>
      </c>
      <c r="S15" s="67">
        <v>19.435560132617375</v>
      </c>
      <c r="T15" s="67">
        <v>20.08254389941909</v>
      </c>
      <c r="U15" s="67">
        <v>25.418008793902299</v>
      </c>
      <c r="V15" s="67">
        <v>21.21219969233076</v>
      </c>
      <c r="W15" s="67">
        <v>30</v>
      </c>
      <c r="X15" s="67">
        <v>29.36604272309523</v>
      </c>
      <c r="Y15" s="67">
        <v>34</v>
      </c>
      <c r="Z15" s="67"/>
      <c r="AA15" s="67">
        <v>21</v>
      </c>
      <c r="AB15" s="67">
        <v>32.346319999999999</v>
      </c>
      <c r="AC15" s="67">
        <v>25.369484379315598</v>
      </c>
      <c r="AD15" s="67">
        <v>26.312000000000001</v>
      </c>
      <c r="AE15" s="67">
        <v>25.960302397205588</v>
      </c>
      <c r="AF15" s="67">
        <v>28.750786759275989</v>
      </c>
      <c r="AG15" s="99"/>
      <c r="AH15" s="67">
        <v>24.67657373310794</v>
      </c>
      <c r="AI15" s="67">
        <v>26.90063334703445</v>
      </c>
      <c r="AJ15" s="67" t="s">
        <v>248</v>
      </c>
      <c r="AK15" s="67" t="s">
        <v>248</v>
      </c>
      <c r="AL15" s="67">
        <v>16.836929999999999</v>
      </c>
      <c r="AM15"/>
      <c r="AN15"/>
      <c r="AO15"/>
      <c r="AHA15">
        <v>24.67657373310794</v>
      </c>
    </row>
    <row r="16" spans="1:885" ht="12.6" customHeight="1">
      <c r="A16" s="3" t="s">
        <v>1</v>
      </c>
      <c r="B16" s="10" t="s">
        <v>15</v>
      </c>
      <c r="C16" s="101" t="s">
        <v>248</v>
      </c>
      <c r="D16" s="67">
        <v>1.116514</v>
      </c>
      <c r="E16" s="67" t="s">
        <v>248</v>
      </c>
      <c r="F16" s="67">
        <v>5.9850375652313232</v>
      </c>
      <c r="G16" s="67" t="s">
        <v>248</v>
      </c>
      <c r="H16" s="67">
        <v>1.48978633482173</v>
      </c>
      <c r="I16" s="67">
        <v>1.2118649563072239</v>
      </c>
      <c r="J16" s="67">
        <v>0.92868815443144448</v>
      </c>
      <c r="K16" s="67">
        <v>0.80372821004566219</v>
      </c>
      <c r="L16" s="67">
        <v>2</v>
      </c>
      <c r="M16" s="67" t="s">
        <v>248</v>
      </c>
      <c r="N16" s="67" t="s">
        <v>248</v>
      </c>
      <c r="O16" s="67">
        <v>2.054866090157268</v>
      </c>
      <c r="P16" s="230">
        <v>2</v>
      </c>
      <c r="Q16" s="67" t="s">
        <v>248</v>
      </c>
      <c r="R16" s="67" t="s">
        <v>248</v>
      </c>
      <c r="S16" s="67" t="s">
        <v>248</v>
      </c>
      <c r="T16" s="67" t="s">
        <v>248</v>
      </c>
      <c r="U16" s="67">
        <v>2.4071532666486908</v>
      </c>
      <c r="V16" s="67">
        <v>0.36083648914412991</v>
      </c>
      <c r="W16" s="67" t="s">
        <v>248</v>
      </c>
      <c r="X16" s="67">
        <v>0.18462735879714029</v>
      </c>
      <c r="Y16" s="67">
        <v>3</v>
      </c>
      <c r="Z16" s="67"/>
      <c r="AA16" s="67" t="s">
        <v>248</v>
      </c>
      <c r="AB16" s="67">
        <v>2.7745519999999999</v>
      </c>
      <c r="AC16" s="67">
        <v>7.1670051296785902</v>
      </c>
      <c r="AD16" s="67">
        <v>2.1928010000000002</v>
      </c>
      <c r="AE16" s="67">
        <v>6.0055039935301062</v>
      </c>
      <c r="AF16" s="67">
        <v>2.0199260890886652</v>
      </c>
      <c r="AG16" s="99"/>
      <c r="AH16" s="67">
        <v>0.84476199405730767</v>
      </c>
      <c r="AI16" s="67">
        <v>0.7052600502967834</v>
      </c>
      <c r="AJ16" s="67" t="s">
        <v>248</v>
      </c>
      <c r="AK16" s="67" t="s">
        <v>248</v>
      </c>
      <c r="AL16" s="67">
        <v>0.91431499999999999</v>
      </c>
      <c r="AM16"/>
      <c r="AN16"/>
      <c r="AO16"/>
      <c r="AHA16">
        <v>0.84476199405730767</v>
      </c>
    </row>
    <row r="17" spans="1:885" ht="12.6" customHeight="1">
      <c r="A17" s="3">
        <v>2.4</v>
      </c>
      <c r="B17" s="10" t="s">
        <v>16</v>
      </c>
      <c r="C17" s="101" t="s">
        <v>248</v>
      </c>
      <c r="D17" s="67">
        <v>6.3349299999999999</v>
      </c>
      <c r="E17" s="67">
        <v>3.5048339513958426</v>
      </c>
      <c r="F17" s="67">
        <v>4.1895262956619268</v>
      </c>
      <c r="G17" s="67">
        <v>9.8399139169451768</v>
      </c>
      <c r="H17" s="67" t="s">
        <v>248</v>
      </c>
      <c r="I17" s="67" t="s">
        <v>248</v>
      </c>
      <c r="J17" s="67">
        <v>1.9716921155630656</v>
      </c>
      <c r="K17" s="67" t="s">
        <v>248</v>
      </c>
      <c r="L17" s="67">
        <v>14</v>
      </c>
      <c r="M17" s="67">
        <v>8.8498925036295404</v>
      </c>
      <c r="N17" s="67" t="s">
        <v>248</v>
      </c>
      <c r="O17" s="67">
        <v>6.6223061631664057</v>
      </c>
      <c r="P17" s="230"/>
      <c r="Q17" s="67">
        <v>0.99224108046153381</v>
      </c>
      <c r="R17" s="67">
        <v>11.298587937506312</v>
      </c>
      <c r="S17" s="67">
        <v>13.286608711649585</v>
      </c>
      <c r="T17" s="67">
        <v>3.323088588934934</v>
      </c>
      <c r="U17" s="67">
        <v>8.3483240775735208</v>
      </c>
      <c r="V17" s="67">
        <v>6.7281695821480456</v>
      </c>
      <c r="W17" s="67">
        <v>8</v>
      </c>
      <c r="X17" s="67" t="s">
        <v>248</v>
      </c>
      <c r="Y17" s="67">
        <v>9</v>
      </c>
      <c r="Z17" s="67">
        <v>7.0489510489510492</v>
      </c>
      <c r="AA17" s="67">
        <v>6.9902912621359219</v>
      </c>
      <c r="AB17" s="67">
        <v>5.6682269999999999</v>
      </c>
      <c r="AC17" s="67" t="s">
        <v>248</v>
      </c>
      <c r="AD17" s="67">
        <v>1.635562</v>
      </c>
      <c r="AE17" s="67">
        <v>6.5941895188265658</v>
      </c>
      <c r="AF17" s="67">
        <v>3.5085135071467319</v>
      </c>
      <c r="AG17" s="99"/>
      <c r="AH17" s="67" t="s">
        <v>248</v>
      </c>
      <c r="AI17" s="67">
        <v>3.2240459442138669</v>
      </c>
      <c r="AJ17" s="67">
        <v>1.9986120749479528</v>
      </c>
      <c r="AK17" s="67">
        <v>1.1764475435982551</v>
      </c>
      <c r="AL17" s="67">
        <v>0.63028169999999994</v>
      </c>
      <c r="AM17"/>
      <c r="AN17"/>
      <c r="AO17"/>
      <c r="AHA17" t="s">
        <v>248</v>
      </c>
    </row>
    <row r="18" spans="1:885">
      <c r="A18" s="3">
        <v>2.5</v>
      </c>
      <c r="B18" s="10" t="s">
        <v>17</v>
      </c>
      <c r="C18" s="101">
        <v>5.5038220986796382</v>
      </c>
      <c r="D18" s="67">
        <v>7.5363959999999999</v>
      </c>
      <c r="E18" s="67">
        <v>2.7075509573291083</v>
      </c>
      <c r="F18" s="67">
        <v>3.5910225391387942</v>
      </c>
      <c r="G18" s="67">
        <v>2.6782481149332913</v>
      </c>
      <c r="H18" s="67">
        <v>9.2774549615359092</v>
      </c>
      <c r="I18" s="67">
        <v>12.64706378304095</v>
      </c>
      <c r="J18" s="67" t="s">
        <v>248</v>
      </c>
      <c r="K18" s="67">
        <v>16.123257932679731</v>
      </c>
      <c r="L18" s="67">
        <v>14</v>
      </c>
      <c r="M18" s="67">
        <v>0.57585100647247756</v>
      </c>
      <c r="N18" s="67">
        <v>7.816802</v>
      </c>
      <c r="O18" s="67">
        <v>2.558667669222674</v>
      </c>
      <c r="P18" s="67">
        <v>1</v>
      </c>
      <c r="Q18" s="67">
        <v>0.76845919529151818</v>
      </c>
      <c r="R18" s="67">
        <v>0</v>
      </c>
      <c r="S18" s="67">
        <v>0</v>
      </c>
      <c r="T18" s="67">
        <v>2.6565438835111053</v>
      </c>
      <c r="U18" s="67">
        <v>2.514507451017852</v>
      </c>
      <c r="V18" s="67">
        <v>5.0326878941789124</v>
      </c>
      <c r="W18" s="67">
        <v>5</v>
      </c>
      <c r="X18" s="67">
        <v>10.65836019127687</v>
      </c>
      <c r="Y18" s="67">
        <v>1</v>
      </c>
      <c r="Z18" s="67">
        <v>2.013986013986016</v>
      </c>
      <c r="AA18" s="67">
        <v>0.9986130374479889</v>
      </c>
      <c r="AB18" s="67">
        <v>0.88865649999999996</v>
      </c>
      <c r="AC18" s="67" t="s">
        <v>248</v>
      </c>
      <c r="AD18" s="67">
        <v>2.9435180000000001</v>
      </c>
      <c r="AE18" s="67">
        <v>3</v>
      </c>
      <c r="AF18" s="67">
        <v>6.1293496516349526</v>
      </c>
      <c r="AG18" s="99"/>
      <c r="AH18" s="67">
        <v>5.2844012385376118</v>
      </c>
      <c r="AI18" s="67">
        <v>0.50375717878341675</v>
      </c>
      <c r="AJ18" s="67">
        <v>0.99930603747397639</v>
      </c>
      <c r="AK18" s="67">
        <v>0.25789098030651336</v>
      </c>
      <c r="AL18" s="67">
        <v>1.5754950000000001</v>
      </c>
      <c r="AM18"/>
      <c r="AN18"/>
      <c r="AO18"/>
      <c r="AHA18">
        <v>5.2844012385376118</v>
      </c>
    </row>
    <row r="19" spans="1:885">
      <c r="A19" s="3">
        <v>2.6</v>
      </c>
      <c r="B19" s="8" t="s">
        <v>18</v>
      </c>
      <c r="C19" s="101">
        <v>32.022237665045168</v>
      </c>
      <c r="D19" s="67">
        <v>10.1463116758976</v>
      </c>
      <c r="E19" s="67">
        <v>14.579483197835446</v>
      </c>
      <c r="F19" s="67">
        <v>13.167082643508911</v>
      </c>
      <c r="G19" s="67">
        <v>22.023074403278443</v>
      </c>
      <c r="H19" s="67">
        <v>18.54544190217695</v>
      </c>
      <c r="I19" s="67">
        <v>13.704216186171211</v>
      </c>
      <c r="J19" s="67">
        <v>5.5820863271722816</v>
      </c>
      <c r="K19" s="67">
        <v>17.563979579967171</v>
      </c>
      <c r="L19" s="67">
        <v>13</v>
      </c>
      <c r="M19" s="67">
        <v>17.820145229058152</v>
      </c>
      <c r="N19" s="67">
        <v>22.753419999999998</v>
      </c>
      <c r="O19" s="67">
        <v>20.519915550318132</v>
      </c>
      <c r="P19" s="67" t="s">
        <v>46</v>
      </c>
      <c r="Q19" s="67">
        <v>12.81572006508809</v>
      </c>
      <c r="R19" s="67">
        <v>24.190282168466112</v>
      </c>
      <c r="S19" s="67">
        <v>20.053966616703921</v>
      </c>
      <c r="T19" s="67">
        <v>22.132526798331785</v>
      </c>
      <c r="U19" s="67">
        <v>8.5486517905687922</v>
      </c>
      <c r="V19" s="67">
        <v>18.341444332211395</v>
      </c>
      <c r="W19" s="67">
        <v>28</v>
      </c>
      <c r="X19" s="67">
        <v>11.95064545491562</v>
      </c>
      <c r="Y19" s="67">
        <v>21</v>
      </c>
      <c r="Z19" s="67">
        <v>20.13986013986014</v>
      </c>
      <c r="AA19" s="67">
        <v>17.975034674063799</v>
      </c>
      <c r="AB19" s="67">
        <v>21.72777</v>
      </c>
      <c r="AC19" s="67">
        <v>26.235436490442797</v>
      </c>
      <c r="AD19" s="67">
        <v>12.268649999999999</v>
      </c>
      <c r="AE19" s="67">
        <v>20.385953553717655</v>
      </c>
      <c r="AF19" s="67">
        <v>24.921363621920602</v>
      </c>
      <c r="AG19" s="99"/>
      <c r="AH19" s="67">
        <v>17.328423748367641</v>
      </c>
      <c r="AI19" s="67">
        <v>14.508206748962399</v>
      </c>
      <c r="AJ19" s="67">
        <v>14.989590562109647</v>
      </c>
      <c r="AK19" s="67">
        <v>8.2913394022041889</v>
      </c>
      <c r="AL19" s="67">
        <v>9.2822820000000004</v>
      </c>
      <c r="AM19"/>
      <c r="AN19"/>
      <c r="AO19"/>
      <c r="AHA19">
        <v>17.328423748367641</v>
      </c>
    </row>
    <row r="20" spans="1:885">
      <c r="A20" s="3">
        <v>2.7</v>
      </c>
      <c r="B20" s="8" t="s">
        <v>19</v>
      </c>
      <c r="C20" s="101" t="s">
        <v>248</v>
      </c>
      <c r="D20" s="67">
        <v>1.76728280414796</v>
      </c>
      <c r="E20" s="67" t="s">
        <v>248</v>
      </c>
      <c r="F20" s="67">
        <v>25.735661530494689</v>
      </c>
      <c r="G20" s="67" t="s">
        <v>248</v>
      </c>
      <c r="H20" s="67" t="s">
        <v>248</v>
      </c>
      <c r="I20" s="67" t="s">
        <v>248</v>
      </c>
      <c r="J20" s="67">
        <v>0.82290304823126192</v>
      </c>
      <c r="K20" s="67" t="s">
        <v>248</v>
      </c>
      <c r="L20" s="67" t="s">
        <v>248</v>
      </c>
      <c r="M20" s="67" t="s">
        <v>248</v>
      </c>
      <c r="N20" s="67" t="s">
        <v>248</v>
      </c>
      <c r="O20" s="67">
        <v>0.25934584551994472</v>
      </c>
      <c r="P20" s="99" t="s">
        <v>248</v>
      </c>
      <c r="Q20" s="67" t="s">
        <v>248</v>
      </c>
      <c r="R20" s="67" t="s">
        <v>248</v>
      </c>
      <c r="S20" s="67" t="s">
        <v>248</v>
      </c>
      <c r="T20" s="67" t="s">
        <v>248</v>
      </c>
      <c r="U20" s="67">
        <v>8.9723896761127477</v>
      </c>
      <c r="V20" s="67">
        <v>0.74421321264513463</v>
      </c>
      <c r="W20" s="67" t="s">
        <v>248</v>
      </c>
      <c r="X20" s="67" t="s">
        <v>248</v>
      </c>
      <c r="Y20" s="67" t="s">
        <v>248</v>
      </c>
      <c r="Z20" s="67"/>
      <c r="AA20" s="67" t="s">
        <v>248</v>
      </c>
      <c r="AB20" s="67">
        <v>12.02112</v>
      </c>
      <c r="AC20" s="67">
        <v>7.1116249263136702</v>
      </c>
      <c r="AD20" s="67">
        <v>2.883251</v>
      </c>
      <c r="AE20" s="67" t="s">
        <v>248</v>
      </c>
      <c r="AF20" s="67">
        <v>2.9042399196365398</v>
      </c>
      <c r="AG20" s="99"/>
      <c r="AH20" s="67" t="s">
        <v>248</v>
      </c>
      <c r="AI20" s="67">
        <v>40.905082917213441</v>
      </c>
      <c r="AJ20" s="67" t="s">
        <v>248</v>
      </c>
      <c r="AK20" s="67" t="s">
        <v>248</v>
      </c>
      <c r="AL20" s="67">
        <v>13.260300000000001</v>
      </c>
      <c r="AM20"/>
      <c r="AN20"/>
      <c r="AO20"/>
      <c r="AHA20" t="s">
        <v>248</v>
      </c>
    </row>
    <row r="21" spans="1:885">
      <c r="A21" s="4">
        <v>3</v>
      </c>
      <c r="B21" s="9" t="s">
        <v>20</v>
      </c>
      <c r="C21" s="102">
        <v>657.45656706045872</v>
      </c>
      <c r="D21" s="43">
        <v>667.66179</v>
      </c>
      <c r="E21" s="43">
        <v>664.04635084985557</v>
      </c>
      <c r="F21" s="43">
        <v>655.9601171493531</v>
      </c>
      <c r="G21" s="43">
        <v>659.35929496339804</v>
      </c>
      <c r="H21" s="43">
        <v>653.82136015057768</v>
      </c>
      <c r="I21" s="43">
        <v>644.69437641673721</v>
      </c>
      <c r="J21" s="43">
        <v>752.24654409000573</v>
      </c>
      <c r="K21" s="43">
        <v>657.60239331566845</v>
      </c>
      <c r="L21" s="43">
        <v>685</v>
      </c>
      <c r="M21" s="43">
        <v>683.13915221000184</v>
      </c>
      <c r="N21" s="43">
        <v>608.91367000000002</v>
      </c>
      <c r="O21" s="43">
        <v>707.80821800252124</v>
      </c>
      <c r="P21" s="43">
        <v>640</v>
      </c>
      <c r="Q21" s="43">
        <v>677.84742107559794</v>
      </c>
      <c r="R21" s="43">
        <v>641.29620771174177</v>
      </c>
      <c r="S21" s="43">
        <v>645.5386495136155</v>
      </c>
      <c r="T21" s="43">
        <v>685.66823095217273</v>
      </c>
      <c r="U21" s="43">
        <v>606.06800344744227</v>
      </c>
      <c r="V21" s="43">
        <v>681.59062001420568</v>
      </c>
      <c r="W21" s="43">
        <v>648</v>
      </c>
      <c r="X21" s="43">
        <v>613.33378520597762</v>
      </c>
      <c r="Y21" s="43">
        <v>682</v>
      </c>
      <c r="Z21" s="43">
        <v>675.69230769230774</v>
      </c>
      <c r="AA21" s="43">
        <v>628.12760055478498</v>
      </c>
      <c r="AB21" s="43">
        <v>691.79238999999995</v>
      </c>
      <c r="AC21" s="43">
        <v>622.4695254203599</v>
      </c>
      <c r="AD21" s="43">
        <v>681.7966899999999</v>
      </c>
      <c r="AE21" s="43">
        <v>645.20437434277028</v>
      </c>
      <c r="AF21" s="43">
        <v>664.044677734375</v>
      </c>
      <c r="AG21" s="99"/>
      <c r="AH21" s="43">
        <v>723.05290031974437</v>
      </c>
      <c r="AI21" s="43">
        <v>654.78358098268507</v>
      </c>
      <c r="AJ21" s="43">
        <v>693.51839000693963</v>
      </c>
      <c r="AK21" s="43">
        <v>687.48991476704919</v>
      </c>
      <c r="AL21" s="43">
        <v>695.07884000000001</v>
      </c>
      <c r="AM21"/>
      <c r="AN21"/>
      <c r="AO21"/>
      <c r="AHA21">
        <v>723.05290031974437</v>
      </c>
    </row>
    <row r="22" spans="1:885">
      <c r="A22" s="3">
        <v>3.1</v>
      </c>
      <c r="B22" s="7" t="s">
        <v>21</v>
      </c>
      <c r="C22" s="101">
        <v>512.35580264072269</v>
      </c>
      <c r="D22" s="67">
        <v>515.82930936811704</v>
      </c>
      <c r="E22" s="67">
        <v>512.86023944507031</v>
      </c>
      <c r="F22" s="67">
        <v>526.68330574035645</v>
      </c>
      <c r="G22" s="67">
        <v>488.60752360280503</v>
      </c>
      <c r="H22" s="67">
        <v>519.01456476458407</v>
      </c>
      <c r="I22" s="67">
        <v>507.45603673793448</v>
      </c>
      <c r="J22" s="67">
        <v>512.97463006601299</v>
      </c>
      <c r="K22" s="67">
        <v>512.09924964547099</v>
      </c>
      <c r="L22" s="67">
        <v>500</v>
      </c>
      <c r="M22" s="67">
        <v>505.89669795063986</v>
      </c>
      <c r="N22" s="67">
        <v>491.25420000000003</v>
      </c>
      <c r="O22" s="67">
        <v>513.32088598242979</v>
      </c>
      <c r="P22" s="67">
        <v>462</v>
      </c>
      <c r="Q22" s="67">
        <v>471.35074889140753</v>
      </c>
      <c r="R22" s="67">
        <v>512.28976055896999</v>
      </c>
      <c r="S22" s="67">
        <v>503.06893841806334</v>
      </c>
      <c r="T22" s="67">
        <v>518.17335730136892</v>
      </c>
      <c r="U22" s="67">
        <v>470.41686827210708</v>
      </c>
      <c r="V22" s="67">
        <v>502.77631874819303</v>
      </c>
      <c r="W22" s="67">
        <v>526</v>
      </c>
      <c r="X22" s="67">
        <v>504.00256559583801</v>
      </c>
      <c r="Y22" s="67">
        <v>515</v>
      </c>
      <c r="Z22" s="67">
        <v>505.51048951048955</v>
      </c>
      <c r="AA22" s="67">
        <v>501.30374479889042</v>
      </c>
      <c r="AB22" s="67">
        <v>515.66189999999995</v>
      </c>
      <c r="AC22" s="67">
        <v>482.70098676994348</v>
      </c>
      <c r="AD22" s="67">
        <v>514.58169999999996</v>
      </c>
      <c r="AE22" s="67">
        <v>508.11057904086522</v>
      </c>
      <c r="AF22" s="67">
        <v>541.30421141355839</v>
      </c>
      <c r="AG22" s="99"/>
      <c r="AH22" s="67">
        <v>532.19718840852147</v>
      </c>
      <c r="AI22" s="67">
        <v>492.67452085018158</v>
      </c>
      <c r="AJ22" s="67">
        <v>541.62387231089519</v>
      </c>
      <c r="AK22" s="67">
        <v>528.14137472816958</v>
      </c>
      <c r="AL22" s="67">
        <v>553.14170000000001</v>
      </c>
      <c r="AM22"/>
      <c r="AN22"/>
      <c r="AO22"/>
      <c r="AHA22">
        <v>532.19718840852147</v>
      </c>
    </row>
    <row r="23" spans="1:885">
      <c r="A23" s="3">
        <v>3.2</v>
      </c>
      <c r="B23" s="8" t="s">
        <v>22</v>
      </c>
      <c r="C23" s="101">
        <v>89.06184850590688</v>
      </c>
      <c r="D23" s="67">
        <v>95.711174816767993</v>
      </c>
      <c r="E23" s="67">
        <v>98.516408364348706</v>
      </c>
      <c r="F23" s="67">
        <v>77.805488348007202</v>
      </c>
      <c r="G23" s="67">
        <v>119.15340996707874</v>
      </c>
      <c r="H23" s="67">
        <v>82.092482089005898</v>
      </c>
      <c r="I23" s="67">
        <v>87.822655983465665</v>
      </c>
      <c r="J23" s="67">
        <v>132.75710778104158</v>
      </c>
      <c r="K23" s="67">
        <v>92.759367705404657</v>
      </c>
      <c r="L23" s="67">
        <v>128</v>
      </c>
      <c r="M23" s="67">
        <v>101.12999975600407</v>
      </c>
      <c r="N23" s="67">
        <v>75.386560000000003</v>
      </c>
      <c r="O23" s="67">
        <v>126.97485465501927</v>
      </c>
      <c r="P23" s="67">
        <v>91</v>
      </c>
      <c r="Q23" s="67">
        <v>116.9425415210389</v>
      </c>
      <c r="R23" s="67">
        <v>88.867320953693778</v>
      </c>
      <c r="S23" s="67">
        <v>88.205404975788554</v>
      </c>
      <c r="T23" s="67">
        <v>112.22232739169974</v>
      </c>
      <c r="U23" s="67">
        <v>75.559081319703196</v>
      </c>
      <c r="V23" s="67">
        <v>114.30819035517595</v>
      </c>
      <c r="W23" s="67">
        <v>80</v>
      </c>
      <c r="X23" s="67">
        <v>71.233440628166136</v>
      </c>
      <c r="Y23" s="67">
        <v>100</v>
      </c>
      <c r="Z23" s="67">
        <v>111.77622377622379</v>
      </c>
      <c r="AA23" s="67">
        <v>85.88072122052705</v>
      </c>
      <c r="AB23" s="67">
        <v>125.5582</v>
      </c>
      <c r="AC23" s="67">
        <v>82.535617620690005</v>
      </c>
      <c r="AD23" s="67">
        <v>117.5817</v>
      </c>
      <c r="AE23" s="67">
        <v>79.252173945979465</v>
      </c>
      <c r="AF23" s="67">
        <v>65.443047052395499</v>
      </c>
      <c r="AG23" s="99"/>
      <c r="AH23" s="67">
        <v>137.46513903423329</v>
      </c>
      <c r="AI23" s="67">
        <v>104.7814931869507</v>
      </c>
      <c r="AJ23" s="67">
        <v>99.93060374739764</v>
      </c>
      <c r="AK23" s="67">
        <v>83.855191600655957</v>
      </c>
      <c r="AL23" s="67">
        <v>72.385310000000004</v>
      </c>
      <c r="AM23"/>
      <c r="AN23"/>
      <c r="AO23"/>
      <c r="AHA23">
        <v>137.46513903423329</v>
      </c>
    </row>
    <row r="24" spans="1:885" ht="22.5">
      <c r="A24" s="3">
        <v>3.3</v>
      </c>
      <c r="B24" s="8" t="s">
        <v>23</v>
      </c>
      <c r="C24" s="101">
        <v>56.038915913829051</v>
      </c>
      <c r="D24" s="67">
        <v>56.121309824739697</v>
      </c>
      <c r="E24" s="67">
        <v>52.669703040436566</v>
      </c>
      <c r="F24" s="67">
        <v>52.069826817512507</v>
      </c>
      <c r="G24" s="67">
        <v>51.598361393514267</v>
      </c>
      <c r="H24" s="67">
        <v>52.714313296987712</v>
      </c>
      <c r="I24" s="67">
        <v>49.415660827346983</v>
      </c>
      <c r="J24" s="67">
        <v>106.51480624295114</v>
      </c>
      <c r="K24" s="67">
        <v>52.743798862989927</v>
      </c>
      <c r="L24" s="67">
        <v>57</v>
      </c>
      <c r="M24" s="67">
        <v>76.112454503358023</v>
      </c>
      <c r="N24" s="67">
        <v>42.272910000000003</v>
      </c>
      <c r="O24" s="67">
        <v>67.512477365072243</v>
      </c>
      <c r="P24" s="67">
        <v>87</v>
      </c>
      <c r="Q24" s="67">
        <v>89.554130663151426</v>
      </c>
      <c r="R24" s="67">
        <v>40.139126199077957</v>
      </c>
      <c r="S24" s="67">
        <v>54.26430611976361</v>
      </c>
      <c r="T24" s="67">
        <v>55.272546259104004</v>
      </c>
      <c r="U24" s="67">
        <v>60.09205385563196</v>
      </c>
      <c r="V24" s="67">
        <v>64.506110910836597</v>
      </c>
      <c r="W24" s="67">
        <v>42</v>
      </c>
      <c r="X24" s="67">
        <v>38.097782795161947</v>
      </c>
      <c r="Y24" s="67">
        <v>67</v>
      </c>
      <c r="Z24" s="67">
        <v>58.405594405594407</v>
      </c>
      <c r="AA24" s="67">
        <v>40.943134535367548</v>
      </c>
      <c r="AB24" s="67">
        <v>50.572290000000002</v>
      </c>
      <c r="AC24" s="67">
        <v>57.232921029731273</v>
      </c>
      <c r="AD24" s="67">
        <v>49.633290000000002</v>
      </c>
      <c r="AE24" s="67">
        <v>57.841621355925632</v>
      </c>
      <c r="AF24" s="67">
        <v>57.297429324293716</v>
      </c>
      <c r="AG24" s="99"/>
      <c r="AH24" s="67">
        <v>53.390572876989609</v>
      </c>
      <c r="AI24" s="67">
        <v>57.22681550979614</v>
      </c>
      <c r="AJ24" s="67">
        <v>51.963913948646777</v>
      </c>
      <c r="AK24" s="67">
        <v>75.493348438223663</v>
      </c>
      <c r="AL24" s="67">
        <v>69.551829999999995</v>
      </c>
      <c r="AM24"/>
      <c r="AN24"/>
      <c r="AO24"/>
      <c r="AHA24">
        <v>53.390572876989609</v>
      </c>
    </row>
    <row r="25" spans="1:885">
      <c r="A25" s="4">
        <v>4</v>
      </c>
      <c r="B25" s="9" t="s">
        <v>24</v>
      </c>
      <c r="C25" s="102">
        <v>281.19527449617789</v>
      </c>
      <c r="D25" s="43">
        <v>306.87112000000002</v>
      </c>
      <c r="E25" s="43">
        <v>339.3501437357283</v>
      </c>
      <c r="F25" s="43">
        <v>211.27182605266569</v>
      </c>
      <c r="G25" s="43">
        <v>328.84481308687708</v>
      </c>
      <c r="H25" s="43">
        <v>301.15404383146603</v>
      </c>
      <c r="I25" s="43">
        <v>329.80660461079242</v>
      </c>
      <c r="J25" s="43">
        <v>293.54264720486071</v>
      </c>
      <c r="K25" s="43">
        <v>340.88283502057311</v>
      </c>
      <c r="L25" s="43">
        <v>335</v>
      </c>
      <c r="M25" s="43">
        <v>281.34970132325799</v>
      </c>
      <c r="N25" s="43">
        <v>312.31157999999999</v>
      </c>
      <c r="O25" s="43">
        <v>323.25861693889669</v>
      </c>
      <c r="P25" s="43">
        <v>269</v>
      </c>
      <c r="Q25" s="43">
        <v>258.26020384104919</v>
      </c>
      <c r="R25" s="43">
        <v>268.84131411538192</v>
      </c>
      <c r="S25" s="43">
        <v>246.60680300744264</v>
      </c>
      <c r="T25" s="43">
        <v>276.38569977914409</v>
      </c>
      <c r="U25" s="43">
        <v>202.83390862167681</v>
      </c>
      <c r="V25" s="43">
        <v>314.76399484600472</v>
      </c>
      <c r="W25" s="43">
        <v>301</v>
      </c>
      <c r="X25" s="43">
        <v>353.96775606368459</v>
      </c>
      <c r="Y25" s="43">
        <v>261</v>
      </c>
      <c r="Z25" s="43">
        <v>240.67132867132867</v>
      </c>
      <c r="AA25" s="43">
        <v>310.56865464632455</v>
      </c>
      <c r="AB25" s="43">
        <v>316.04926599999999</v>
      </c>
      <c r="AC25" s="43">
        <v>321.48457251321298</v>
      </c>
      <c r="AD25" s="43">
        <v>285.730729</v>
      </c>
      <c r="AE25" s="43">
        <v>305.5309365147898</v>
      </c>
      <c r="AF25" s="43">
        <v>279.85675048828131</v>
      </c>
      <c r="AG25" s="99"/>
      <c r="AH25" s="43">
        <v>240.9749932378181</v>
      </c>
      <c r="AI25" s="43">
        <v>250.56882072687151</v>
      </c>
      <c r="AJ25" s="43">
        <v>227.84177654406665</v>
      </c>
      <c r="AK25" s="43">
        <v>253.99612273410077</v>
      </c>
      <c r="AL25" s="43">
        <v>305.89819599999998</v>
      </c>
      <c r="AM25"/>
      <c r="AN25"/>
      <c r="AO25"/>
      <c r="AHA25">
        <v>240.9749932378181</v>
      </c>
    </row>
    <row r="26" spans="1:885">
      <c r="A26" s="3">
        <v>4.0999999999999996</v>
      </c>
      <c r="B26" s="10" t="s">
        <v>25</v>
      </c>
      <c r="C26" s="101">
        <v>19.013203613620568</v>
      </c>
      <c r="D26" s="67">
        <v>39.372431331733203</v>
      </c>
      <c r="E26" s="67">
        <v>21.016577453322085</v>
      </c>
      <c r="F26" s="67">
        <v>19.750623965263369</v>
      </c>
      <c r="G26" s="67">
        <v>22.115072429813779</v>
      </c>
      <c r="H26" s="67">
        <v>39.594214402569612</v>
      </c>
      <c r="I26" s="67">
        <v>36.474469908692868</v>
      </c>
      <c r="J26" s="67">
        <v>11.9611007010534</v>
      </c>
      <c r="K26" s="67">
        <v>32.670919637798526</v>
      </c>
      <c r="L26" s="67">
        <v>28</v>
      </c>
      <c r="M26" s="67">
        <v>12.931679252410685</v>
      </c>
      <c r="N26" s="67">
        <v>20.02075</v>
      </c>
      <c r="O26" s="67">
        <v>38.214085977502052</v>
      </c>
      <c r="P26" s="67">
        <v>9</v>
      </c>
      <c r="Q26" s="67">
        <v>27.188580130647171</v>
      </c>
      <c r="R26" s="67">
        <v>24.990631279523889</v>
      </c>
      <c r="S26" s="67">
        <v>15.962224001095137</v>
      </c>
      <c r="T26" s="67">
        <v>33.237082050751781</v>
      </c>
      <c r="U26" s="67">
        <v>14.232556183363601</v>
      </c>
      <c r="V26" s="67">
        <v>22.399997144600977</v>
      </c>
      <c r="W26" s="67">
        <v>17</v>
      </c>
      <c r="X26" s="67">
        <v>44.090220780491343</v>
      </c>
      <c r="Y26" s="67">
        <v>24</v>
      </c>
      <c r="Z26" s="67">
        <v>12.083916083916083</v>
      </c>
      <c r="AA26" s="67">
        <v>31.955617198335645</v>
      </c>
      <c r="AB26" s="67">
        <v>41.877960000000002</v>
      </c>
      <c r="AC26" s="67">
        <v>34.343945080217395</v>
      </c>
      <c r="AD26" s="67">
        <v>9.4654690000000006</v>
      </c>
      <c r="AE26" s="67">
        <v>19.362315398020446</v>
      </c>
      <c r="AF26" s="67">
        <v>19.00359230031118</v>
      </c>
      <c r="AG26" s="99"/>
      <c r="AH26" s="67">
        <v>20.656961526388841</v>
      </c>
      <c r="AI26" s="67">
        <v>29.11716493368149</v>
      </c>
      <c r="AJ26" s="67">
        <v>22.984038861901457</v>
      </c>
      <c r="AK26" s="67">
        <v>5.4987046680172682</v>
      </c>
      <c r="AL26" s="67">
        <v>5.085051</v>
      </c>
      <c r="AM26"/>
      <c r="AN26"/>
      <c r="AO26"/>
      <c r="AHA26">
        <v>20.656961526388841</v>
      </c>
    </row>
    <row r="27" spans="1:885">
      <c r="A27" s="3">
        <v>4.2</v>
      </c>
      <c r="B27" s="8" t="s">
        <v>26</v>
      </c>
      <c r="C27" s="101">
        <v>6.004169562195969</v>
      </c>
      <c r="D27" s="67">
        <v>9.7690472827448893</v>
      </c>
      <c r="E27" s="67">
        <v>15.365885508381385</v>
      </c>
      <c r="F27" s="67">
        <v>2.9925187826156621</v>
      </c>
      <c r="G27" s="67">
        <v>7.4393849701311812</v>
      </c>
      <c r="H27" s="67">
        <v>5.2467959583495372</v>
      </c>
      <c r="I27" s="67">
        <v>3.4102016461466458</v>
      </c>
      <c r="J27" s="67">
        <v>14.842220869919055</v>
      </c>
      <c r="K27" s="67">
        <v>15.344363354098499</v>
      </c>
      <c r="L27" s="67">
        <v>5</v>
      </c>
      <c r="M27" s="67">
        <v>5.6407005961715173</v>
      </c>
      <c r="N27" s="67">
        <v>41.727780000000003</v>
      </c>
      <c r="O27" s="67">
        <v>5.8233125546677647</v>
      </c>
      <c r="P27" s="67" t="s">
        <v>248</v>
      </c>
      <c r="Q27" s="67">
        <v>4.4493138434970723</v>
      </c>
      <c r="R27" s="67">
        <v>4.7963008260519171</v>
      </c>
      <c r="S27" s="67">
        <v>1.346944277184978</v>
      </c>
      <c r="T27" s="67">
        <v>12.44199549803934</v>
      </c>
      <c r="U27" s="67">
        <v>5.7980655801703804</v>
      </c>
      <c r="V27" s="67">
        <v>6.6449189958989336</v>
      </c>
      <c r="W27" s="67">
        <v>6</v>
      </c>
      <c r="X27" s="67">
        <v>11.910844824196831</v>
      </c>
      <c r="Y27" s="67">
        <v>3</v>
      </c>
      <c r="Z27" s="67">
        <v>10.573426573426573</v>
      </c>
      <c r="AA27" s="67">
        <v>4.993065187239945</v>
      </c>
      <c r="AB27" s="67">
        <v>9.2118359999999999</v>
      </c>
      <c r="AC27" s="67">
        <v>8.8201251062107993</v>
      </c>
      <c r="AD27" s="67">
        <v>2.5805099999999999</v>
      </c>
      <c r="AE27" s="67">
        <v>7.013407728764264</v>
      </c>
      <c r="AF27" s="67">
        <v>5.5323038292100248</v>
      </c>
      <c r="AG27" s="99"/>
      <c r="AH27" s="67">
        <v>2.5937443039149461</v>
      </c>
      <c r="AI27" s="67">
        <v>5.3398260951042174</v>
      </c>
      <c r="AJ27" s="67">
        <v>1.9986120749479528</v>
      </c>
      <c r="AK27" s="67">
        <v>4.6092055871927444</v>
      </c>
      <c r="AL27" s="67">
        <v>5.1077050000000002</v>
      </c>
      <c r="AM27"/>
      <c r="AN27"/>
      <c r="AO27"/>
      <c r="AHA27">
        <v>2.5937443039149461</v>
      </c>
    </row>
    <row r="28" spans="1:885">
      <c r="A28" s="3">
        <v>4.3</v>
      </c>
      <c r="B28" s="7" t="s">
        <v>27</v>
      </c>
      <c r="C28" s="101">
        <v>40.006949270326601</v>
      </c>
      <c r="D28" s="67">
        <v>31.130036547289201</v>
      </c>
      <c r="E28" s="67">
        <v>50.476242090157889</v>
      </c>
      <c r="F28" s="67">
        <v>49.675811791419981</v>
      </c>
      <c r="G28" s="67">
        <v>81.371521458505086</v>
      </c>
      <c r="H28" s="67">
        <v>37.89084399590763</v>
      </c>
      <c r="I28" s="67">
        <v>47.392453994496861</v>
      </c>
      <c r="J28" s="67">
        <v>55.20107323539623</v>
      </c>
      <c r="K28" s="67">
        <v>68.863902569014954</v>
      </c>
      <c r="L28" s="67">
        <v>56</v>
      </c>
      <c r="M28" s="67">
        <v>35.133410175558687</v>
      </c>
      <c r="N28" s="67">
        <v>48.954450000000001</v>
      </c>
      <c r="O28" s="67">
        <v>65.35720679671374</v>
      </c>
      <c r="P28" s="67">
        <v>10</v>
      </c>
      <c r="Q28" s="67">
        <v>42.215919827237563</v>
      </c>
      <c r="R28" s="67">
        <v>35.084831672702961</v>
      </c>
      <c r="S28" s="67">
        <v>31.78246079106755</v>
      </c>
      <c r="T28" s="67">
        <v>32.301265480461019</v>
      </c>
      <c r="U28" s="67">
        <v>45.554442692449747</v>
      </c>
      <c r="V28" s="67">
        <v>72.561856865985433</v>
      </c>
      <c r="W28" s="67">
        <v>69</v>
      </c>
      <c r="X28" s="67">
        <v>74.074062467601038</v>
      </c>
      <c r="Y28" s="67">
        <v>38</v>
      </c>
      <c r="Z28" s="67">
        <v>43.804195804195807</v>
      </c>
      <c r="AA28" s="67">
        <v>61.914008321775313</v>
      </c>
      <c r="AB28" s="67">
        <v>50.793500000000002</v>
      </c>
      <c r="AC28" s="67">
        <v>52.703188099824906</v>
      </c>
      <c r="AD28" s="67">
        <v>68.120159999999998</v>
      </c>
      <c r="AE28" s="67">
        <v>47.42831765130417</v>
      </c>
      <c r="AF28" s="67">
        <v>42.253114112877363</v>
      </c>
      <c r="AG28" s="99"/>
      <c r="AH28" s="67">
        <v>55.921680077530247</v>
      </c>
      <c r="AI28" s="67">
        <v>35.968262565135959</v>
      </c>
      <c r="AJ28" s="67">
        <v>22.984038861901457</v>
      </c>
      <c r="AK28" s="67">
        <v>73.257531310254521</v>
      </c>
      <c r="AL28" s="67">
        <v>82.146140000000003</v>
      </c>
      <c r="AM28"/>
      <c r="AN28"/>
      <c r="AO28"/>
      <c r="AHA28">
        <v>55.921680077530247</v>
      </c>
    </row>
    <row r="29" spans="1:885">
      <c r="A29" s="3">
        <v>4.4000000000000004</v>
      </c>
      <c r="B29" s="7" t="s">
        <v>28</v>
      </c>
      <c r="C29" s="101">
        <v>140.09728978457267</v>
      </c>
      <c r="D29" s="67">
        <v>115.737151277425</v>
      </c>
      <c r="E29" s="67">
        <v>130.56785599087419</v>
      </c>
      <c r="F29" s="67">
        <v>83.192022156715382</v>
      </c>
      <c r="G29" s="67">
        <v>122.97380825958031</v>
      </c>
      <c r="H29" s="67">
        <v>111.1445801922706</v>
      </c>
      <c r="I29" s="67">
        <v>125.542331782486</v>
      </c>
      <c r="J29" s="67">
        <v>113.84890667281091</v>
      </c>
      <c r="K29" s="67">
        <v>120.2916256437511</v>
      </c>
      <c r="L29" s="67">
        <v>131</v>
      </c>
      <c r="M29" s="67">
        <v>133.89768678936619</v>
      </c>
      <c r="N29" s="67">
        <v>85.135099999999994</v>
      </c>
      <c r="O29" s="67">
        <v>103.69272210894766</v>
      </c>
      <c r="P29" s="67">
        <v>80</v>
      </c>
      <c r="Q29" s="67">
        <v>102.00117609047734</v>
      </c>
      <c r="R29" s="67">
        <v>123.29731679890583</v>
      </c>
      <c r="S29" s="67">
        <v>136.78433735237309</v>
      </c>
      <c r="T29" s="67">
        <v>116.07331991759663</v>
      </c>
      <c r="U29" s="67">
        <v>67.690456452312446</v>
      </c>
      <c r="V29" s="67">
        <v>112.52282356132505</v>
      </c>
      <c r="W29" s="67">
        <v>124</v>
      </c>
      <c r="X29" s="67">
        <v>101.6540335958025</v>
      </c>
      <c r="Y29" s="67">
        <v>126</v>
      </c>
      <c r="Z29" s="67">
        <v>113.79020979020979</v>
      </c>
      <c r="AA29" s="67">
        <v>119.83356449375867</v>
      </c>
      <c r="AB29" s="67">
        <v>129.44040000000001</v>
      </c>
      <c r="AC29" s="67">
        <v>113.294143192852</v>
      </c>
      <c r="AD29" s="67">
        <v>124.0316</v>
      </c>
      <c r="AE29" s="67">
        <v>133.31918590437161</v>
      </c>
      <c r="AF29" s="67">
        <v>130.49669176012461</v>
      </c>
      <c r="AG29" s="99"/>
      <c r="AH29" s="67">
        <v>107.5105657722809</v>
      </c>
      <c r="AI29" s="67">
        <v>92.993575203418729</v>
      </c>
      <c r="AJ29" s="67">
        <v>126.91186675919501</v>
      </c>
      <c r="AK29" s="67">
        <v>61.43724169710584</v>
      </c>
      <c r="AL29" s="67">
        <v>131.7347</v>
      </c>
      <c r="AM29"/>
      <c r="AN29"/>
      <c r="AO29"/>
      <c r="AHA29">
        <v>107.5105657722809</v>
      </c>
    </row>
    <row r="30" spans="1:885">
      <c r="A30" s="3">
        <v>4.5</v>
      </c>
      <c r="B30" s="7" t="s">
        <v>29</v>
      </c>
      <c r="C30" s="101">
        <v>76.073662265462005</v>
      </c>
      <c r="D30" s="67">
        <v>110.862456569418</v>
      </c>
      <c r="E30" s="67">
        <v>121.92358269299274</v>
      </c>
      <c r="F30" s="67">
        <v>55.660849356651312</v>
      </c>
      <c r="G30" s="67">
        <v>94.945025968846736</v>
      </c>
      <c r="H30" s="67">
        <v>107.2775990216473</v>
      </c>
      <c r="I30" s="67">
        <v>116.98713941809839</v>
      </c>
      <c r="J30" s="67">
        <v>97.689345725681093</v>
      </c>
      <c r="K30" s="67">
        <v>103.71202381591</v>
      </c>
      <c r="L30" s="67">
        <v>115</v>
      </c>
      <c r="M30" s="67">
        <v>93.746224509750945</v>
      </c>
      <c r="N30" s="67">
        <v>116.4735</v>
      </c>
      <c r="O30" s="67">
        <v>110.17128950106543</v>
      </c>
      <c r="P30" s="67">
        <v>170</v>
      </c>
      <c r="Q30" s="67">
        <v>82.405213949190042</v>
      </c>
      <c r="R30" s="67">
        <v>80.672233538197347</v>
      </c>
      <c r="S30" s="67">
        <v>60.730836585721889</v>
      </c>
      <c r="T30" s="67">
        <v>82.33203683229533</v>
      </c>
      <c r="U30" s="67">
        <v>69.558387713380625</v>
      </c>
      <c r="V30" s="67">
        <v>100.63439827819438</v>
      </c>
      <c r="W30" s="67">
        <v>85</v>
      </c>
      <c r="X30" s="67">
        <v>122.2385878416753</v>
      </c>
      <c r="Y30" s="67">
        <v>70</v>
      </c>
      <c r="Z30" s="67">
        <v>60.419580419580399</v>
      </c>
      <c r="AA30" s="67">
        <v>91.872399445214981</v>
      </c>
      <c r="AB30" s="67">
        <v>84.725570000000005</v>
      </c>
      <c r="AC30" s="67">
        <v>112.323171034108</v>
      </c>
      <c r="AD30" s="67">
        <v>81.532989999999998</v>
      </c>
      <c r="AE30" s="67">
        <v>98.407709832329331</v>
      </c>
      <c r="AF30" s="67">
        <v>82.571056504480069</v>
      </c>
      <c r="AG30" s="99"/>
      <c r="AH30" s="67">
        <v>54.292048120010463</v>
      </c>
      <c r="AI30" s="67">
        <v>86.948489058017728</v>
      </c>
      <c r="AJ30" s="67">
        <v>52.963219986120748</v>
      </c>
      <c r="AK30" s="67">
        <v>109.19343947153037</v>
      </c>
      <c r="AL30" s="67">
        <v>81.824600000000004</v>
      </c>
      <c r="AM30"/>
      <c r="AN30"/>
      <c r="AO30"/>
      <c r="AHA30">
        <v>54.292048120010463</v>
      </c>
    </row>
    <row r="31" spans="1:885">
      <c r="A31" s="4">
        <v>5</v>
      </c>
      <c r="B31" s="9" t="s">
        <v>30</v>
      </c>
      <c r="C31" s="102">
        <v>20.01389854065323</v>
      </c>
      <c r="D31" s="43">
        <v>11.85609</v>
      </c>
      <c r="E31" s="43">
        <v>9.2212800257505485</v>
      </c>
      <c r="F31" s="43">
        <v>30.523691582679749</v>
      </c>
      <c r="G31" s="43">
        <v>10.351956938702461</v>
      </c>
      <c r="H31" s="43">
        <v>18.30182231297044</v>
      </c>
      <c r="I31" s="43">
        <v>39.845414600322329</v>
      </c>
      <c r="J31" s="43">
        <v>8.9471145244003232</v>
      </c>
      <c r="K31" s="43">
        <v>5.113101586905259</v>
      </c>
      <c r="L31" s="43">
        <v>6</v>
      </c>
      <c r="M31" s="43">
        <v>8.738187048738542</v>
      </c>
      <c r="N31" s="43">
        <v>41.172009000000003</v>
      </c>
      <c r="O31" s="43">
        <v>13.185361459159635</v>
      </c>
      <c r="P31" s="43">
        <v>37</v>
      </c>
      <c r="Q31" s="43">
        <v>27.733579864387764</v>
      </c>
      <c r="R31" s="43">
        <v>3.8495074068550146</v>
      </c>
      <c r="S31" s="43">
        <v>8.1680722499443998</v>
      </c>
      <c r="T31" s="43">
        <v>14.063417194944442</v>
      </c>
      <c r="U31" s="43">
        <v>26.163120950189061</v>
      </c>
      <c r="V31" s="43">
        <v>15.296654685888262</v>
      </c>
      <c r="W31" s="43">
        <v>17</v>
      </c>
      <c r="X31" s="43">
        <v>11.71282213667382</v>
      </c>
      <c r="Y31" s="43">
        <v>35</v>
      </c>
      <c r="Z31" s="43">
        <v>6.0419580419580416</v>
      </c>
      <c r="AA31" s="43">
        <v>5.9916782246879334</v>
      </c>
      <c r="AB31" s="43">
        <v>13.424608000000001</v>
      </c>
      <c r="AC31" s="43">
        <v>6.1398565136318801</v>
      </c>
      <c r="AD31" s="43">
        <v>40.096759000000006</v>
      </c>
      <c r="AE31" s="43">
        <v>32.471894215939798</v>
      </c>
      <c r="AF31" s="43">
        <v>20.767721176147461</v>
      </c>
      <c r="AG31" s="99"/>
      <c r="AH31" s="43">
        <v>5.0752473819065926</v>
      </c>
      <c r="AI31" s="43">
        <v>10.276646447181699</v>
      </c>
      <c r="AJ31" s="43">
        <v>14.989590562109647</v>
      </c>
      <c r="AK31" s="43">
        <v>12.388402873825923</v>
      </c>
      <c r="AL31" s="43">
        <v>16.162131299999999</v>
      </c>
      <c r="AM31"/>
      <c r="AN31"/>
      <c r="AO31"/>
      <c r="AHA31">
        <v>5.0752473819065926</v>
      </c>
    </row>
    <row r="32" spans="1:885">
      <c r="A32" s="3">
        <v>5.0999999999999996</v>
      </c>
      <c r="B32" s="8" t="s">
        <v>31</v>
      </c>
      <c r="C32" s="101">
        <v>13.009034051424599</v>
      </c>
      <c r="D32" s="67">
        <v>3.5584608804872402</v>
      </c>
      <c r="E32" s="67">
        <v>2.7131717684039982</v>
      </c>
      <c r="F32" s="67">
        <v>2.9925187826156621</v>
      </c>
      <c r="G32" s="67">
        <v>5.8841604402159895</v>
      </c>
      <c r="H32" s="67" t="s">
        <v>248</v>
      </c>
      <c r="I32" s="67" t="s">
        <v>248</v>
      </c>
      <c r="J32" s="67">
        <v>2.661367155985686</v>
      </c>
      <c r="K32" s="67" t="s">
        <v>248</v>
      </c>
      <c r="L32" s="67">
        <v>3</v>
      </c>
      <c r="M32" s="67">
        <v>1.2745982903542952</v>
      </c>
      <c r="N32" s="67">
        <v>5.8322390000000004</v>
      </c>
      <c r="O32" s="67">
        <v>6.9229959537887309</v>
      </c>
      <c r="P32" s="67" t="s">
        <v>248</v>
      </c>
      <c r="Q32" s="67">
        <v>9.4970071607061577</v>
      </c>
      <c r="R32" s="67">
        <v>1.715576090028234</v>
      </c>
      <c r="S32" s="67">
        <v>3.0495357882392153</v>
      </c>
      <c r="T32" s="67">
        <v>3.4990892676757634</v>
      </c>
      <c r="U32" s="67">
        <v>25.296163555997829</v>
      </c>
      <c r="V32" s="67">
        <v>5.6939049366279884</v>
      </c>
      <c r="W32" s="67">
        <v>9</v>
      </c>
      <c r="X32" s="67" t="s">
        <v>248</v>
      </c>
      <c r="Y32" s="67">
        <v>10</v>
      </c>
      <c r="Z32" s="67">
        <v>5.034965034965035</v>
      </c>
      <c r="AA32" s="67">
        <v>3.9944521497919556</v>
      </c>
      <c r="AB32" s="67">
        <v>4.2196870000000004</v>
      </c>
      <c r="AC32" s="67" t="s">
        <v>248</v>
      </c>
      <c r="AD32" s="67">
        <v>33.458820000000003</v>
      </c>
      <c r="AE32" s="67">
        <v>4.3576177197214188</v>
      </c>
      <c r="AF32" s="67">
        <v>8.2300729435527771</v>
      </c>
      <c r="AG32" s="99"/>
      <c r="AH32" s="44" t="s">
        <v>248</v>
      </c>
      <c r="AI32" s="67">
        <v>4.8360689163208006</v>
      </c>
      <c r="AJ32" s="44" t="s">
        <v>248</v>
      </c>
      <c r="AK32" s="67">
        <v>12.388402873825923</v>
      </c>
      <c r="AL32" s="67">
        <v>16.16132</v>
      </c>
      <c r="AM32"/>
      <c r="AN32"/>
      <c r="AO32"/>
      <c r="AHA32" t="s">
        <v>248</v>
      </c>
    </row>
    <row r="33" spans="1:885">
      <c r="A33" s="3">
        <v>5.2</v>
      </c>
      <c r="B33" s="8" t="s">
        <v>32</v>
      </c>
      <c r="C33" s="101">
        <v>7.0048644892286314</v>
      </c>
      <c r="D33" s="67">
        <v>8.2976254620258896</v>
      </c>
      <c r="E33" s="67">
        <v>6.5081082573465494</v>
      </c>
      <c r="F33" s="67">
        <v>27.531172800064091</v>
      </c>
      <c r="G33" s="67">
        <v>4.4677964984864715</v>
      </c>
      <c r="H33" s="67">
        <v>18.301821835727591</v>
      </c>
      <c r="I33" s="67">
        <v>39.845412694656488</v>
      </c>
      <c r="J33" s="67">
        <v>6.2857473684146363</v>
      </c>
      <c r="K33" s="67">
        <v>5.1131015272745373</v>
      </c>
      <c r="L33" s="67">
        <v>3</v>
      </c>
      <c r="M33" s="67">
        <v>7.4635887583842475</v>
      </c>
      <c r="N33" s="67">
        <v>35.339770000000001</v>
      </c>
      <c r="O33" s="67">
        <v>6.262365505370906</v>
      </c>
      <c r="P33" s="67">
        <v>37</v>
      </c>
      <c r="Q33" s="67">
        <v>18.236572703681606</v>
      </c>
      <c r="R33" s="67">
        <v>2.1339313168267804</v>
      </c>
      <c r="S33" s="67">
        <v>5.1185364617051841</v>
      </c>
      <c r="T33" s="67">
        <v>10.564327927268678</v>
      </c>
      <c r="U33" s="67">
        <v>0.86695739419122664</v>
      </c>
      <c r="V33" s="67">
        <v>9.6027497492602727</v>
      </c>
      <c r="W33" s="67">
        <v>9</v>
      </c>
      <c r="X33" s="67">
        <v>11.712822374998099</v>
      </c>
      <c r="Y33" s="67">
        <v>25</v>
      </c>
      <c r="Z33" s="67">
        <v>1.0069930069930071</v>
      </c>
      <c r="AA33" s="67">
        <v>1.9972260748959778</v>
      </c>
      <c r="AB33" s="67">
        <v>9.2049210000000006</v>
      </c>
      <c r="AC33" s="67">
        <v>6</v>
      </c>
      <c r="AD33" s="67">
        <v>6.6379390000000003</v>
      </c>
      <c r="AE33" s="67">
        <v>28.114276496218384</v>
      </c>
      <c r="AF33" s="67">
        <v>12.53764848565458</v>
      </c>
      <c r="AG33" s="99"/>
      <c r="AH33" s="67">
        <v>5.0752473819065926</v>
      </c>
      <c r="AI33" s="67">
        <v>5.4405775308609012</v>
      </c>
      <c r="AJ33" s="67">
        <v>14.989590562109647</v>
      </c>
      <c r="AK33" s="67" t="s">
        <v>248</v>
      </c>
      <c r="AL33" s="67" t="s">
        <v>248</v>
      </c>
      <c r="AM33"/>
      <c r="AN33"/>
      <c r="AO33"/>
      <c r="AHA33">
        <v>5.0752473819065926</v>
      </c>
    </row>
    <row r="34" spans="1:885">
      <c r="A34" s="5" t="s">
        <v>2</v>
      </c>
      <c r="B34" s="11" t="s">
        <v>33</v>
      </c>
      <c r="C34" s="103">
        <v>1440</v>
      </c>
      <c r="D34" s="46">
        <v>1440</v>
      </c>
      <c r="E34" s="46">
        <v>1440.1915544401177</v>
      </c>
      <c r="F34" s="46">
        <v>1440</v>
      </c>
      <c r="G34" s="46">
        <v>1440</v>
      </c>
      <c r="H34" s="46">
        <v>1440</v>
      </c>
      <c r="I34" s="46">
        <v>1440</v>
      </c>
      <c r="J34" s="46">
        <v>1440</v>
      </c>
      <c r="K34" s="46">
        <v>1440</v>
      </c>
      <c r="L34" s="46">
        <v>1440</v>
      </c>
      <c r="M34" s="46">
        <v>1440</v>
      </c>
      <c r="N34" s="46">
        <v>1440</v>
      </c>
      <c r="O34" s="46">
        <v>1440</v>
      </c>
      <c r="P34" s="46">
        <v>1440.1092599257634</v>
      </c>
      <c r="Q34" s="46">
        <v>1440.0000000000009</v>
      </c>
      <c r="R34" s="46">
        <v>1440.0000000000002</v>
      </c>
      <c r="S34" s="46">
        <v>1440</v>
      </c>
      <c r="T34" s="46">
        <v>1439.9610864095407</v>
      </c>
      <c r="U34" s="46">
        <v>1440</v>
      </c>
      <c r="V34" s="46">
        <v>1439.9996847639477</v>
      </c>
      <c r="W34" s="47">
        <v>1440</v>
      </c>
      <c r="X34" s="46">
        <v>1440</v>
      </c>
      <c r="Y34" s="47">
        <v>1440</v>
      </c>
      <c r="Z34" s="46">
        <v>1440</v>
      </c>
      <c r="AA34" s="46">
        <v>1440</v>
      </c>
      <c r="AB34" s="46">
        <v>1440.0001023999998</v>
      </c>
      <c r="AC34" s="46">
        <v>1439.9999999999968</v>
      </c>
      <c r="AD34" s="46">
        <v>1440.0296573999999</v>
      </c>
      <c r="AE34" s="46">
        <v>1439.9999999999998</v>
      </c>
      <c r="AF34" s="46">
        <v>1440</v>
      </c>
      <c r="AG34" s="99"/>
      <c r="AH34" s="46">
        <v>1440</v>
      </c>
      <c r="AI34" s="46">
        <v>1440</v>
      </c>
      <c r="AJ34" s="46">
        <v>1440</v>
      </c>
      <c r="AK34" s="46">
        <v>1440</v>
      </c>
      <c r="AL34" s="46">
        <v>1440.0000190000001</v>
      </c>
      <c r="AM34"/>
      <c r="AN34"/>
      <c r="AO34"/>
      <c r="AHA34">
        <v>1440</v>
      </c>
    </row>
    <row r="35" spans="1:885">
      <c r="E35" s="25"/>
      <c r="F35" s="25"/>
      <c r="G35" s="25"/>
      <c r="H35" s="25"/>
      <c r="I35" s="25"/>
      <c r="J35" s="25"/>
      <c r="L35" s="25"/>
      <c r="M35" s="25"/>
      <c r="N35" s="25"/>
      <c r="O35" s="25"/>
      <c r="P35" s="25"/>
      <c r="Q35" s="25"/>
      <c r="R35" s="25"/>
      <c r="S35" s="25"/>
      <c r="T35" s="25"/>
      <c r="W35" s="25"/>
      <c r="Y35" s="25"/>
      <c r="AE35" s="25"/>
      <c r="AF35" s="25"/>
      <c r="AK35" s="25"/>
      <c r="AL35" s="25"/>
      <c r="AM35"/>
      <c r="AN35"/>
      <c r="AO35"/>
    </row>
    <row r="36" spans="1:885" ht="371.25">
      <c r="C36" s="49" t="s">
        <v>237</v>
      </c>
      <c r="E36" s="49" t="s">
        <v>486</v>
      </c>
      <c r="F36" s="25"/>
      <c r="H36" s="49" t="s">
        <v>720</v>
      </c>
      <c r="I36" s="49" t="s">
        <v>720</v>
      </c>
      <c r="J36" s="25"/>
      <c r="K36" s="49" t="s">
        <v>720</v>
      </c>
      <c r="L36" s="49" t="s">
        <v>486</v>
      </c>
      <c r="M36" s="49" t="s">
        <v>486</v>
      </c>
      <c r="N36" s="25"/>
      <c r="O36" s="25"/>
      <c r="P36" s="37" t="s">
        <v>622</v>
      </c>
      <c r="Q36" s="25"/>
      <c r="R36" s="25"/>
      <c r="S36" s="49" t="s">
        <v>488</v>
      </c>
      <c r="T36" s="49" t="s">
        <v>486</v>
      </c>
      <c r="U36" s="49" t="s">
        <v>555</v>
      </c>
      <c r="W36" s="37"/>
      <c r="X36" s="49" t="s">
        <v>720</v>
      </c>
      <c r="Y36" s="49" t="s">
        <v>486</v>
      </c>
      <c r="AA36" s="37"/>
      <c r="AC36" s="49"/>
      <c r="AD36" s="37"/>
      <c r="AE36" s="25"/>
      <c r="AF36" s="25"/>
      <c r="AH36" s="49" t="s">
        <v>720</v>
      </c>
      <c r="AI36" s="49"/>
      <c r="AJ36" s="49" t="s">
        <v>344</v>
      </c>
      <c r="AK36" s="25"/>
      <c r="AL36" s="25"/>
      <c r="AM36" s="91"/>
      <c r="AN36" s="92"/>
    </row>
    <row r="39" spans="1:885">
      <c r="AM39" s="94"/>
      <c r="AN39" s="94"/>
    </row>
    <row r="40" spans="1:885">
      <c r="AM40" s="94"/>
      <c r="AN40" s="94"/>
    </row>
    <row r="41" spans="1:885">
      <c r="AM41" s="94"/>
      <c r="AN41" s="94"/>
    </row>
    <row r="42" spans="1:885">
      <c r="AM42" s="95"/>
    </row>
    <row r="43" spans="1:885">
      <c r="AM43" s="96"/>
      <c r="AN43" s="96"/>
    </row>
    <row r="44" spans="1:885" ht="14.25">
      <c r="F44" s="107"/>
    </row>
  </sheetData>
  <mergeCells count="2">
    <mergeCell ref="P7:P8"/>
    <mergeCell ref="P16:P17"/>
  </mergeCells>
  <pageMargins left="0.70866141732282995" right="0.70866141732282995" top="0.74803149606299002" bottom="0.74803149606299002" header="0.31496062992126" footer="0.31496062992126"/>
  <pageSetup paperSize="9" scale="35" orientation="landscape" r:id="rId1"/>
  <headerFooter>
    <oddFooter>&amp;C_x000D_&amp;1#&amp;"Aptos"&amp;10&amp;K0000FF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A36"/>
  <sheetViews>
    <sheetView topLeftCell="D1" zoomScaleNormal="100" workbookViewId="0">
      <selection activeCell="L34" sqref="L34"/>
    </sheetView>
  </sheetViews>
  <sheetFormatPr defaultRowHeight="12.75"/>
  <cols>
    <col min="1" max="1" width="4.7109375" customWidth="1"/>
    <col min="2" max="2" width="48.7109375" customWidth="1"/>
    <col min="3" max="32" width="12.140625" customWidth="1"/>
    <col min="33" max="33" width="9.7109375" customWidth="1"/>
    <col min="34" max="38" width="12.140625" customWidth="1"/>
    <col min="40" max="43" width="8.85546875"/>
  </cols>
  <sheetData>
    <row r="1" spans="1:885">
      <c r="A1" s="1"/>
      <c r="B1" s="50" t="s">
        <v>230</v>
      </c>
      <c r="C1" s="177" t="s">
        <v>236</v>
      </c>
      <c r="D1" s="26" t="s">
        <v>34</v>
      </c>
      <c r="E1" s="27" t="s">
        <v>227</v>
      </c>
      <c r="F1" s="27" t="s">
        <v>39</v>
      </c>
      <c r="G1" s="26" t="s">
        <v>238</v>
      </c>
      <c r="H1" s="27" t="s">
        <v>527</v>
      </c>
      <c r="I1" s="26" t="s">
        <v>721</v>
      </c>
      <c r="J1" s="27" t="s">
        <v>42</v>
      </c>
      <c r="K1" s="26" t="s">
        <v>722</v>
      </c>
      <c r="L1" s="27" t="s">
        <v>228</v>
      </c>
      <c r="M1" s="27" t="s">
        <v>249</v>
      </c>
      <c r="N1" s="26" t="s">
        <v>240</v>
      </c>
      <c r="O1" s="26" t="s">
        <v>47</v>
      </c>
      <c r="P1" s="27" t="s">
        <v>45</v>
      </c>
      <c r="Q1" s="27" t="s">
        <v>242</v>
      </c>
      <c r="R1" s="27" t="s">
        <v>52</v>
      </c>
      <c r="S1" s="27" t="s">
        <v>487</v>
      </c>
      <c r="T1" s="27" t="s">
        <v>485</v>
      </c>
      <c r="U1" s="26" t="s">
        <v>554</v>
      </c>
      <c r="V1" s="26" t="s">
        <v>243</v>
      </c>
      <c r="W1" s="27" t="s">
        <v>244</v>
      </c>
      <c r="X1" s="26" t="s">
        <v>723</v>
      </c>
      <c r="Y1" s="27" t="s">
        <v>229</v>
      </c>
      <c r="Z1" s="26" t="s">
        <v>245</v>
      </c>
      <c r="AA1" s="26" t="s">
        <v>246</v>
      </c>
      <c r="AB1" s="26" t="s">
        <v>53</v>
      </c>
      <c r="AC1" s="26" t="s">
        <v>417</v>
      </c>
      <c r="AD1" s="26" t="s">
        <v>603</v>
      </c>
      <c r="AE1" s="27" t="s">
        <v>499</v>
      </c>
      <c r="AF1" s="27" t="s">
        <v>500</v>
      </c>
      <c r="AG1" s="99"/>
      <c r="AH1" s="26" t="s">
        <v>724</v>
      </c>
      <c r="AI1" s="26" t="s">
        <v>625</v>
      </c>
      <c r="AJ1" s="26" t="s">
        <v>345</v>
      </c>
      <c r="AK1" s="27" t="s">
        <v>342</v>
      </c>
      <c r="AL1" s="27" t="s">
        <v>343</v>
      </c>
    </row>
    <row r="2" spans="1:885">
      <c r="A2" s="1"/>
      <c r="B2" s="50" t="s">
        <v>231</v>
      </c>
      <c r="C2" s="178">
        <v>2006</v>
      </c>
      <c r="D2" s="27" t="s">
        <v>562</v>
      </c>
      <c r="E2" s="27">
        <v>2013</v>
      </c>
      <c r="F2" s="27" t="s">
        <v>627</v>
      </c>
      <c r="G2" s="27">
        <v>2001</v>
      </c>
      <c r="H2" s="27" t="s">
        <v>718</v>
      </c>
      <c r="I2" s="27" t="s">
        <v>719</v>
      </c>
      <c r="J2" s="27" t="s">
        <v>41</v>
      </c>
      <c r="K2" s="27" t="s">
        <v>627</v>
      </c>
      <c r="L2" s="27" t="s">
        <v>730</v>
      </c>
      <c r="M2" s="27">
        <v>2010</v>
      </c>
      <c r="N2" s="27">
        <v>2005</v>
      </c>
      <c r="O2" s="27" t="s">
        <v>48</v>
      </c>
      <c r="P2" s="27">
        <v>2021</v>
      </c>
      <c r="Q2" s="27">
        <v>2014</v>
      </c>
      <c r="R2" s="27">
        <v>2003</v>
      </c>
      <c r="S2" s="27">
        <v>2003</v>
      </c>
      <c r="T2" s="27">
        <v>2013</v>
      </c>
      <c r="U2" s="27" t="s">
        <v>629</v>
      </c>
      <c r="V2" s="27">
        <v>2016</v>
      </c>
      <c r="W2" s="27" t="s">
        <v>41</v>
      </c>
      <c r="X2" s="27" t="s">
        <v>627</v>
      </c>
      <c r="Y2" s="27" t="s">
        <v>628</v>
      </c>
      <c r="Z2" s="27">
        <v>1999</v>
      </c>
      <c r="AA2" s="27" t="s">
        <v>247</v>
      </c>
      <c r="AB2" s="27" t="s">
        <v>41</v>
      </c>
      <c r="AC2" s="27">
        <v>2010</v>
      </c>
      <c r="AD2" s="27" t="s">
        <v>54</v>
      </c>
      <c r="AE2" s="27" t="s">
        <v>55</v>
      </c>
      <c r="AF2" s="27" t="s">
        <v>629</v>
      </c>
      <c r="AG2" s="99"/>
      <c r="AH2" s="27" t="s">
        <v>717</v>
      </c>
      <c r="AI2" s="27" t="s">
        <v>626</v>
      </c>
      <c r="AJ2" s="27">
        <v>2008</v>
      </c>
      <c r="AK2" s="27" t="s">
        <v>403</v>
      </c>
      <c r="AL2" s="27">
        <v>2010</v>
      </c>
      <c r="AHA2" t="s">
        <v>717</v>
      </c>
    </row>
    <row r="3" spans="1:885">
      <c r="A3" s="1"/>
      <c r="B3" s="50" t="s">
        <v>232</v>
      </c>
      <c r="C3" s="178" t="s">
        <v>226</v>
      </c>
      <c r="D3" s="27" t="s">
        <v>36</v>
      </c>
      <c r="E3" s="27" t="s">
        <v>36</v>
      </c>
      <c r="F3" s="27" t="s">
        <v>36</v>
      </c>
      <c r="G3" s="27" t="s">
        <v>36</v>
      </c>
      <c r="H3" s="27" t="s">
        <v>36</v>
      </c>
      <c r="I3" s="27" t="s">
        <v>36</v>
      </c>
      <c r="J3" s="27" t="s">
        <v>36</v>
      </c>
      <c r="K3" s="27" t="s">
        <v>36</v>
      </c>
      <c r="L3" s="27" t="s">
        <v>36</v>
      </c>
      <c r="M3" s="27" t="s">
        <v>36</v>
      </c>
      <c r="N3" s="27" t="s">
        <v>36</v>
      </c>
      <c r="O3" s="27" t="s">
        <v>36</v>
      </c>
      <c r="P3" s="27" t="s">
        <v>36</v>
      </c>
      <c r="Q3" s="27" t="s">
        <v>36</v>
      </c>
      <c r="R3" s="27" t="s">
        <v>36</v>
      </c>
      <c r="S3" s="27" t="s">
        <v>418</v>
      </c>
      <c r="T3" s="27" t="s">
        <v>36</v>
      </c>
      <c r="U3" s="27" t="s">
        <v>36</v>
      </c>
      <c r="V3" s="27" t="s">
        <v>36</v>
      </c>
      <c r="W3" s="27" t="s">
        <v>36</v>
      </c>
      <c r="X3" s="27" t="s">
        <v>36</v>
      </c>
      <c r="Y3" s="27" t="s">
        <v>36</v>
      </c>
      <c r="Z3" s="27" t="s">
        <v>36</v>
      </c>
      <c r="AA3" s="27" t="s">
        <v>36</v>
      </c>
      <c r="AB3" s="27" t="s">
        <v>36</v>
      </c>
      <c r="AC3" s="27" t="s">
        <v>36</v>
      </c>
      <c r="AD3" s="27" t="s">
        <v>36</v>
      </c>
      <c r="AE3" s="27" t="s">
        <v>36</v>
      </c>
      <c r="AF3" s="27" t="s">
        <v>36</v>
      </c>
      <c r="AG3" s="99"/>
      <c r="AH3" s="27" t="s">
        <v>36</v>
      </c>
      <c r="AI3" s="27" t="s">
        <v>36</v>
      </c>
      <c r="AJ3" s="27" t="s">
        <v>241</v>
      </c>
      <c r="AK3" s="27" t="s">
        <v>36</v>
      </c>
      <c r="AL3" s="27" t="s">
        <v>36</v>
      </c>
    </row>
    <row r="4" spans="1:885">
      <c r="A4" s="2">
        <v>1</v>
      </c>
      <c r="B4" s="22" t="s">
        <v>3</v>
      </c>
      <c r="C4" s="38">
        <v>304.05574912891984</v>
      </c>
      <c r="D4" s="38">
        <v>311.85469000000001</v>
      </c>
      <c r="E4" s="39">
        <v>273.70408188101857</v>
      </c>
      <c r="F4" s="39">
        <v>370.91816067695618</v>
      </c>
      <c r="G4" s="38">
        <v>260.06775092011873</v>
      </c>
      <c r="H4" s="39">
        <v>307.83880552971101</v>
      </c>
      <c r="I4" s="38">
        <v>257.16292556791808</v>
      </c>
      <c r="J4" s="39">
        <v>235.13206520974788</v>
      </c>
      <c r="K4" s="38">
        <v>276.81184135581861</v>
      </c>
      <c r="L4" s="39">
        <v>276</v>
      </c>
      <c r="M4" s="39">
        <v>272.6571112996856</v>
      </c>
      <c r="N4" s="39">
        <v>340.81053000000003</v>
      </c>
      <c r="O4" s="39">
        <v>220.81396676153466</v>
      </c>
      <c r="P4" s="39">
        <v>442</v>
      </c>
      <c r="Q4" s="39">
        <v>418.98608986486732</v>
      </c>
      <c r="R4" s="39">
        <v>376.93106909732001</v>
      </c>
      <c r="S4" s="39">
        <v>354.26273205205433</v>
      </c>
      <c r="T4" s="39">
        <v>329.99501858754644</v>
      </c>
      <c r="U4" s="39">
        <v>453.66476260946268</v>
      </c>
      <c r="V4" s="38">
        <v>284.93920573115003</v>
      </c>
      <c r="W4" s="39">
        <v>338</v>
      </c>
      <c r="X4" s="38">
        <v>302.75278073291878</v>
      </c>
      <c r="Y4" s="39">
        <v>272.2437744140625</v>
      </c>
      <c r="Z4" s="38">
        <v>372.32704402515719</v>
      </c>
      <c r="AA4" s="39">
        <v>299.83286908077991</v>
      </c>
      <c r="AB4" s="38">
        <v>236.2291275</v>
      </c>
      <c r="AC4" s="39">
        <v>313</v>
      </c>
      <c r="AD4" s="39">
        <v>358.25011049999995</v>
      </c>
      <c r="AE4" s="39">
        <v>308.61597517412645</v>
      </c>
      <c r="AF4" s="39">
        <v>305.46401977539063</v>
      </c>
      <c r="AG4" s="48"/>
      <c r="AH4" s="39">
        <v>305.87734810193069</v>
      </c>
      <c r="AI4" s="39">
        <v>344.43570842742918</v>
      </c>
      <c r="AJ4" s="39">
        <v>390</v>
      </c>
      <c r="AK4" s="39">
        <v>390.57108730200252</v>
      </c>
      <c r="AL4" s="39">
        <v>294.16316999999998</v>
      </c>
      <c r="AHA4">
        <v>305.87734810193069</v>
      </c>
    </row>
    <row r="5" spans="1:885">
      <c r="A5" s="3">
        <v>1.1000000000000001</v>
      </c>
      <c r="B5" s="21" t="s">
        <v>4</v>
      </c>
      <c r="C5" s="40">
        <v>247.86062717770034</v>
      </c>
      <c r="D5" s="40">
        <v>253.141454141601</v>
      </c>
      <c r="E5" s="67">
        <v>203.29880702494933</v>
      </c>
      <c r="F5" s="67">
        <v>277.59036540985107</v>
      </c>
      <c r="G5" s="40">
        <v>211.40338919194625</v>
      </c>
      <c r="H5" s="67">
        <v>251.09634606977491</v>
      </c>
      <c r="I5" s="40">
        <v>210.86741225988229</v>
      </c>
      <c r="J5" s="67">
        <v>173.53590915883964</v>
      </c>
      <c r="K5" s="40">
        <v>228.85762150708621</v>
      </c>
      <c r="L5" s="67">
        <v>210</v>
      </c>
      <c r="M5" s="67">
        <v>200.38914627088025</v>
      </c>
      <c r="N5" s="67">
        <v>276.5521</v>
      </c>
      <c r="O5" s="67">
        <v>160.06779896173265</v>
      </c>
      <c r="P5" s="67">
        <v>360</v>
      </c>
      <c r="Q5" s="67">
        <v>287.01290295927396</v>
      </c>
      <c r="R5" s="67">
        <v>323.2510203232564</v>
      </c>
      <c r="S5" s="67">
        <v>311.49861509100811</v>
      </c>
      <c r="T5" s="67">
        <v>254.4569125999549</v>
      </c>
      <c r="U5" s="67">
        <v>363.20396419476401</v>
      </c>
      <c r="V5" s="41">
        <v>219.92576161462301</v>
      </c>
      <c r="W5" s="67">
        <v>279</v>
      </c>
      <c r="X5" s="41">
        <v>250.1878204710101</v>
      </c>
      <c r="Y5" s="67">
        <v>235.34626770019531</v>
      </c>
      <c r="Z5" s="40">
        <v>299.87421383647802</v>
      </c>
      <c r="AA5" s="67">
        <v>235.65459610027855</v>
      </c>
      <c r="AB5" s="40">
        <v>180.9965</v>
      </c>
      <c r="AC5" s="67">
        <v>251</v>
      </c>
      <c r="AD5" s="67">
        <v>287.17469999999997</v>
      </c>
      <c r="AE5" s="67">
        <v>228.19170826711277</v>
      </c>
      <c r="AF5" s="67">
        <v>250.9895793373565</v>
      </c>
      <c r="AG5" s="48"/>
      <c r="AH5" s="67">
        <v>249.6883895531937</v>
      </c>
      <c r="AI5" s="67">
        <v>281.06681488752372</v>
      </c>
      <c r="AJ5" s="67">
        <v>308</v>
      </c>
      <c r="AK5" s="67">
        <v>318.10182471090383</v>
      </c>
      <c r="AL5" s="67">
        <v>195.58459999999999</v>
      </c>
      <c r="AHA5">
        <v>249.6883895531937</v>
      </c>
    </row>
    <row r="6" spans="1:885">
      <c r="A6" s="3">
        <v>1.2</v>
      </c>
      <c r="B6" s="21" t="s">
        <v>5</v>
      </c>
      <c r="C6" s="40">
        <v>31.10801393728223</v>
      </c>
      <c r="D6" s="40">
        <v>27.589427442089999</v>
      </c>
      <c r="E6" s="67">
        <v>29.196107860771392</v>
      </c>
      <c r="F6" s="67">
        <v>31.707520186901089</v>
      </c>
      <c r="G6" s="40">
        <v>28.714902606008341</v>
      </c>
      <c r="H6" s="67">
        <v>31.47246948745487</v>
      </c>
      <c r="I6" s="40">
        <v>17.201514871011739</v>
      </c>
      <c r="J6" s="67">
        <v>26.332791389786212</v>
      </c>
      <c r="K6" s="40">
        <v>23.382319606794059</v>
      </c>
      <c r="L6" s="67">
        <v>28</v>
      </c>
      <c r="M6" s="67">
        <v>33.104656058529578</v>
      </c>
      <c r="N6" s="67">
        <v>25.89442</v>
      </c>
      <c r="O6" s="67">
        <v>26.671117992286337</v>
      </c>
      <c r="P6" s="67">
        <v>48</v>
      </c>
      <c r="Q6" s="67">
        <v>72.375644658120549</v>
      </c>
      <c r="R6" s="67">
        <v>42.549802441893895</v>
      </c>
      <c r="S6" s="67">
        <v>32.797099171519214</v>
      </c>
      <c r="T6" s="67">
        <v>37.928159573723271</v>
      </c>
      <c r="U6" s="67">
        <v>49.316112997230888</v>
      </c>
      <c r="V6" s="41">
        <v>36.242127760853009</v>
      </c>
      <c r="W6" s="67">
        <v>29.000000000000004</v>
      </c>
      <c r="X6" s="41">
        <v>21.03758241201631</v>
      </c>
      <c r="Y6" s="67">
        <v>26.92520904541016</v>
      </c>
      <c r="Z6" s="40">
        <v>32.20125786163522</v>
      </c>
      <c r="AA6" s="67">
        <v>28.077994428969362</v>
      </c>
      <c r="AB6" s="40">
        <v>24.225739999999998</v>
      </c>
      <c r="AC6" s="67">
        <v>33</v>
      </c>
      <c r="AD6" s="67">
        <v>43.521929999999998</v>
      </c>
      <c r="AE6" s="67">
        <v>48.832885442227642</v>
      </c>
      <c r="AF6" s="67">
        <v>23.29496628938092</v>
      </c>
      <c r="AG6" s="48"/>
      <c r="AH6" s="67">
        <v>36.604222070650387</v>
      </c>
      <c r="AI6" s="67">
        <v>38.405390024185181</v>
      </c>
      <c r="AJ6" s="67">
        <v>56</v>
      </c>
      <c r="AK6" s="67">
        <v>44.437603494787645</v>
      </c>
      <c r="AL6" s="67">
        <v>44.359389999999998</v>
      </c>
      <c r="AHA6">
        <v>36.604222070650387</v>
      </c>
    </row>
    <row r="7" spans="1:885">
      <c r="A7" s="3">
        <v>1.3</v>
      </c>
      <c r="B7" s="21" t="s">
        <v>6</v>
      </c>
      <c r="C7" s="40">
        <v>15.05226480836237</v>
      </c>
      <c r="D7" s="40">
        <v>16.3373893573829</v>
      </c>
      <c r="E7" s="67">
        <v>27.884721212837107</v>
      </c>
      <c r="F7" s="67">
        <v>29.912754893302921</v>
      </c>
      <c r="G7" s="40">
        <v>12.821433903650835</v>
      </c>
      <c r="H7" s="67">
        <v>17.53925513263346</v>
      </c>
      <c r="I7" s="40">
        <v>18.112600034492331</v>
      </c>
      <c r="J7" s="67">
        <v>23.771111254586426</v>
      </c>
      <c r="K7" s="40">
        <v>16.08177759291058</v>
      </c>
      <c r="L7" s="67">
        <v>22</v>
      </c>
      <c r="M7" s="67">
        <v>29.067934239590507</v>
      </c>
      <c r="N7" s="67">
        <v>38.36401</v>
      </c>
      <c r="O7" s="67">
        <v>13.680502188788283</v>
      </c>
      <c r="P7" s="230">
        <v>34</v>
      </c>
      <c r="Q7" s="67">
        <v>39.035378422701854</v>
      </c>
      <c r="R7" s="67">
        <v>7.8793261096083844</v>
      </c>
      <c r="S7" s="67">
        <v>7.8671963349007017</v>
      </c>
      <c r="T7" s="67">
        <v>24.572923648972427</v>
      </c>
      <c r="U7" s="67">
        <v>31.173548936099792</v>
      </c>
      <c r="V7" s="41">
        <v>14.715085681645087</v>
      </c>
      <c r="W7" s="67">
        <v>21</v>
      </c>
      <c r="X7" s="41">
        <v>25.514831964025291</v>
      </c>
      <c r="Y7" s="67">
        <v>5.9833793640136719</v>
      </c>
      <c r="Z7" s="40">
        <v>32.20125786163522</v>
      </c>
      <c r="AA7" s="67">
        <v>21.058495821727018</v>
      </c>
      <c r="AB7" s="40">
        <v>18.474699999999999</v>
      </c>
      <c r="AC7" s="67">
        <v>30</v>
      </c>
      <c r="AD7" s="67">
        <v>17.400289999999998</v>
      </c>
      <c r="AE7" s="67">
        <v>15.032787503801444</v>
      </c>
      <c r="AF7" s="67">
        <v>18.209830415438311</v>
      </c>
      <c r="AG7" s="48"/>
      <c r="AH7" s="67">
        <v>14.91164524329562</v>
      </c>
      <c r="AI7" s="67">
        <v>17.68669277429581</v>
      </c>
      <c r="AJ7" s="67">
        <v>25.999999999999996</v>
      </c>
      <c r="AK7" s="67">
        <v>14.070235419235608</v>
      </c>
      <c r="AL7" s="67">
        <v>29.769069999999999</v>
      </c>
      <c r="AHA7">
        <v>14.91164524329562</v>
      </c>
    </row>
    <row r="8" spans="1:885">
      <c r="A8" s="3">
        <v>1.4</v>
      </c>
      <c r="B8" s="17" t="s">
        <v>7</v>
      </c>
      <c r="C8" s="40">
        <v>10.034843205574912</v>
      </c>
      <c r="D8" s="40">
        <v>9.7764731699900604</v>
      </c>
      <c r="E8" s="67">
        <v>13.324445782460776</v>
      </c>
      <c r="F8" s="67">
        <v>8.9738264679908752</v>
      </c>
      <c r="G8" s="40">
        <v>7.1280252185133541</v>
      </c>
      <c r="H8" s="67">
        <v>7.7307293551248222</v>
      </c>
      <c r="I8" s="40">
        <v>10.98140853661994</v>
      </c>
      <c r="J8" s="67">
        <v>8.1801534317303215</v>
      </c>
      <c r="K8" s="40">
        <v>8.4901295651554847</v>
      </c>
      <c r="L8" s="67">
        <v>12</v>
      </c>
      <c r="M8" s="67">
        <v>10.095374730685233</v>
      </c>
      <c r="N8" s="67" t="s">
        <v>248</v>
      </c>
      <c r="O8" s="67">
        <v>13.105708673168623</v>
      </c>
      <c r="P8" s="230"/>
      <c r="Q8" s="67">
        <v>20.562163824770941</v>
      </c>
      <c r="R8" s="67">
        <v>3.2509202225613829</v>
      </c>
      <c r="S8" s="67">
        <v>2.0998214546262557</v>
      </c>
      <c r="T8" s="67">
        <v>13.037022764895868</v>
      </c>
      <c r="U8" s="67">
        <v>9.0283640657437267</v>
      </c>
      <c r="V8" s="40">
        <v>10.788972772277228</v>
      </c>
      <c r="W8" s="67">
        <v>10</v>
      </c>
      <c r="X8" s="40">
        <v>6.0125527960607306</v>
      </c>
      <c r="Y8" s="67">
        <v>2.9916896820068359</v>
      </c>
      <c r="Z8" s="40">
        <v>8.050314465408805</v>
      </c>
      <c r="AA8" s="67">
        <v>15.041782729805014</v>
      </c>
      <c r="AB8" s="40">
        <v>8.1429559999999999</v>
      </c>
      <c r="AC8" s="67" t="s">
        <v>248</v>
      </c>
      <c r="AD8" s="67">
        <v>9.9511190000000003</v>
      </c>
      <c r="AE8" s="67">
        <v>13.670893827591474</v>
      </c>
      <c r="AF8" s="67">
        <v>10.29347642711382</v>
      </c>
      <c r="AG8" s="48"/>
      <c r="AH8" s="67">
        <v>4.673106350173839</v>
      </c>
      <c r="AI8" s="67">
        <v>6.1650757670402534</v>
      </c>
      <c r="AJ8" s="67" t="s">
        <v>248</v>
      </c>
      <c r="AK8" s="67">
        <v>13.961423677075464</v>
      </c>
      <c r="AL8" s="67">
        <v>13.246880000000001</v>
      </c>
      <c r="AHA8">
        <v>4.673106350173839</v>
      </c>
    </row>
    <row r="9" spans="1:885">
      <c r="A9" s="3">
        <v>1.5</v>
      </c>
      <c r="B9" s="17" t="s">
        <v>8</v>
      </c>
      <c r="C9" s="101" t="s">
        <v>248</v>
      </c>
      <c r="D9" s="40">
        <v>1.9496351322659899</v>
      </c>
      <c r="E9" s="67" t="s">
        <v>248</v>
      </c>
      <c r="F9" s="67" t="s">
        <v>248</v>
      </c>
      <c r="G9" s="40" t="s">
        <v>248</v>
      </c>
      <c r="H9" s="67" t="s">
        <v>248</v>
      </c>
      <c r="I9" s="40" t="s">
        <v>248</v>
      </c>
      <c r="J9" s="67">
        <v>2.7758911465053662</v>
      </c>
      <c r="K9" s="40" t="s">
        <v>248</v>
      </c>
      <c r="L9" s="121">
        <v>4</v>
      </c>
      <c r="M9" s="67" t="s">
        <v>248</v>
      </c>
      <c r="N9" s="67" t="s">
        <v>248</v>
      </c>
      <c r="O9" s="67">
        <v>3.9708992459972743</v>
      </c>
      <c r="P9" s="67" t="s">
        <v>248</v>
      </c>
      <c r="Q9" s="67" t="s">
        <v>248</v>
      </c>
      <c r="R9" s="67" t="s">
        <v>248</v>
      </c>
      <c r="S9" s="67" t="s">
        <v>248</v>
      </c>
      <c r="T9" s="67" t="s">
        <v>248</v>
      </c>
      <c r="U9" s="67">
        <v>0.94277241562433511</v>
      </c>
      <c r="V9" s="40">
        <v>0.81487528560548361</v>
      </c>
      <c r="W9" s="67" t="s">
        <v>248</v>
      </c>
      <c r="X9" s="40" t="s">
        <v>248</v>
      </c>
      <c r="Y9" s="67" t="s">
        <v>248</v>
      </c>
      <c r="Z9" s="67" t="s">
        <v>248</v>
      </c>
      <c r="AA9" s="67" t="s">
        <v>248</v>
      </c>
      <c r="AB9" s="40">
        <v>3.8203749999999999</v>
      </c>
      <c r="AC9" s="67" t="s">
        <v>248</v>
      </c>
      <c r="AD9" s="67" t="s">
        <v>248</v>
      </c>
      <c r="AE9" s="67">
        <v>2.1933258319729219</v>
      </c>
      <c r="AF9" s="67">
        <v>2.6761768737687661</v>
      </c>
      <c r="AG9" s="48"/>
      <c r="AH9" s="67" t="s">
        <v>248</v>
      </c>
      <c r="AI9" s="67">
        <v>0.70746771097183225</v>
      </c>
      <c r="AJ9" s="67" t="s">
        <v>248</v>
      </c>
      <c r="AK9" s="67" t="s">
        <v>248</v>
      </c>
      <c r="AL9" s="67" t="s">
        <v>248</v>
      </c>
      <c r="AHA9" t="s">
        <v>248</v>
      </c>
    </row>
    <row r="10" spans="1:885">
      <c r="A10" s="3">
        <v>1.6</v>
      </c>
      <c r="B10" s="17" t="s">
        <v>9</v>
      </c>
      <c r="C10" s="101" t="s">
        <v>248</v>
      </c>
      <c r="D10" s="40">
        <v>3.0603087290897601</v>
      </c>
      <c r="E10" s="67" t="s">
        <v>248</v>
      </c>
      <c r="F10" s="67">
        <v>22.135438621044159</v>
      </c>
      <c r="G10" s="40" t="s">
        <v>248</v>
      </c>
      <c r="H10" s="67" t="s">
        <v>248</v>
      </c>
      <c r="I10" s="40" t="s">
        <v>248</v>
      </c>
      <c r="J10" s="67">
        <v>0.53620882829991046</v>
      </c>
      <c r="K10" s="40" t="s">
        <v>248</v>
      </c>
      <c r="L10" s="121" t="s">
        <v>248</v>
      </c>
      <c r="M10" s="67" t="s">
        <v>248</v>
      </c>
      <c r="N10" s="67" t="s">
        <v>248</v>
      </c>
      <c r="O10" s="67">
        <v>3.3179396995615025</v>
      </c>
      <c r="P10" s="67" t="s">
        <v>248</v>
      </c>
      <c r="Q10" s="67" t="s">
        <v>248</v>
      </c>
      <c r="R10" s="67" t="s">
        <v>248</v>
      </c>
      <c r="S10" s="67" t="s">
        <v>248</v>
      </c>
      <c r="T10" s="67" t="s">
        <v>248</v>
      </c>
      <c r="U10" s="67">
        <v>0</v>
      </c>
      <c r="V10" s="40">
        <v>2.4523826161462292</v>
      </c>
      <c r="W10" s="67" t="s">
        <v>248</v>
      </c>
      <c r="X10" s="40" t="s">
        <v>248</v>
      </c>
      <c r="Y10" s="67">
        <v>0.9972299337387085</v>
      </c>
      <c r="Z10" s="67" t="s">
        <v>248</v>
      </c>
      <c r="AA10" s="67" t="s">
        <v>248</v>
      </c>
      <c r="AB10" s="40">
        <v>0.56885649999999999</v>
      </c>
      <c r="AC10" s="67" t="s">
        <v>248</v>
      </c>
      <c r="AD10" s="67">
        <v>0</v>
      </c>
      <c r="AE10" s="67">
        <v>0.69437430142018386</v>
      </c>
      <c r="AF10" s="67">
        <v>0</v>
      </c>
      <c r="AG10" s="48"/>
      <c r="AH10" s="67" t="s">
        <v>248</v>
      </c>
      <c r="AI10" s="67">
        <v>0.30320044755935671</v>
      </c>
      <c r="AJ10" s="67" t="s">
        <v>248</v>
      </c>
      <c r="AK10" s="67" t="s">
        <v>248</v>
      </c>
      <c r="AL10" s="67">
        <v>11.20323</v>
      </c>
      <c r="AHA10" t="s">
        <v>248</v>
      </c>
    </row>
    <row r="11" spans="1:885">
      <c r="A11" s="4">
        <v>2</v>
      </c>
      <c r="B11" s="20" t="s">
        <v>10</v>
      </c>
      <c r="C11" s="42">
        <v>171.595818815331</v>
      </c>
      <c r="D11" s="42">
        <v>138.51472999999999</v>
      </c>
      <c r="E11" s="43">
        <v>144.17237847897221</v>
      </c>
      <c r="F11" s="43">
        <v>163.92189681529999</v>
      </c>
      <c r="G11" s="42">
        <v>186.1360818597189</v>
      </c>
      <c r="H11" s="43">
        <v>139.18771553190891</v>
      </c>
      <c r="I11" s="42">
        <v>161.98769026449551</v>
      </c>
      <c r="J11" s="43">
        <v>134.93945332180451</v>
      </c>
      <c r="K11" s="42">
        <v>151.6411567791456</v>
      </c>
      <c r="L11" s="43">
        <v>97</v>
      </c>
      <c r="M11" s="43">
        <v>162.34104598012914</v>
      </c>
      <c r="N11" s="43">
        <v>126.97815100000001</v>
      </c>
      <c r="O11" s="43">
        <v>130.70904349081948</v>
      </c>
      <c r="P11" s="43">
        <v>47</v>
      </c>
      <c r="Q11" s="43">
        <v>48.994484860827207</v>
      </c>
      <c r="R11" s="43">
        <v>129.72689715060244</v>
      </c>
      <c r="S11" s="43">
        <v>151.61080552029992</v>
      </c>
      <c r="T11" s="43">
        <v>121.07518141647196</v>
      </c>
      <c r="U11" s="43">
        <v>147.35937019920121</v>
      </c>
      <c r="V11" s="42">
        <v>145.41706987814166</v>
      </c>
      <c r="W11" s="43">
        <v>141</v>
      </c>
      <c r="X11" s="42">
        <v>159.9324033858484</v>
      </c>
      <c r="Y11" s="43">
        <v>189.47369384765631</v>
      </c>
      <c r="Z11" s="42">
        <v>96.268343815513632</v>
      </c>
      <c r="AA11" s="43">
        <v>166.46239554317549</v>
      </c>
      <c r="AB11" s="42">
        <v>145.90931270000002</v>
      </c>
      <c r="AC11" s="43">
        <v>171</v>
      </c>
      <c r="AD11" s="43">
        <v>67.591738899999996</v>
      </c>
      <c r="AE11" s="43">
        <v>140.08179519029616</v>
      </c>
      <c r="AF11" s="43">
        <v>159.10272216796881</v>
      </c>
      <c r="AG11" s="48"/>
      <c r="AH11" s="43">
        <v>125.7576728756612</v>
      </c>
      <c r="AI11" s="43">
        <v>148.9724865674973</v>
      </c>
      <c r="AJ11" s="43">
        <v>91</v>
      </c>
      <c r="AK11" s="43">
        <v>51.767242334305003</v>
      </c>
      <c r="AL11" s="43">
        <v>102.93914110000001</v>
      </c>
      <c r="AHA11">
        <v>125.7576728756612</v>
      </c>
    </row>
    <row r="12" spans="1:885">
      <c r="A12" s="3">
        <v>2.1</v>
      </c>
      <c r="B12" s="21" t="s">
        <v>11</v>
      </c>
      <c r="C12" s="40">
        <v>93.324041811846698</v>
      </c>
      <c r="D12" s="40">
        <v>81.345859799630006</v>
      </c>
      <c r="E12" s="67">
        <v>86.769580673763585</v>
      </c>
      <c r="F12" s="67">
        <v>66.406315863132491</v>
      </c>
      <c r="G12" s="40">
        <v>107.20203506672331</v>
      </c>
      <c r="H12" s="67">
        <v>79.130699939846977</v>
      </c>
      <c r="I12" s="40">
        <v>90.391609731864634</v>
      </c>
      <c r="J12" s="67">
        <v>97.356795138275317</v>
      </c>
      <c r="K12" s="40">
        <v>85.197058604213197</v>
      </c>
      <c r="L12" s="67">
        <v>38</v>
      </c>
      <c r="M12" s="67">
        <v>102.22852177203846</v>
      </c>
      <c r="N12" s="67">
        <v>47.785519999999998</v>
      </c>
      <c r="O12" s="67">
        <v>63.610902917254556</v>
      </c>
      <c r="P12" s="67">
        <v>19</v>
      </c>
      <c r="Q12" s="67">
        <v>22.458421561845476</v>
      </c>
      <c r="R12" s="67">
        <v>85.196001853114112</v>
      </c>
      <c r="S12" s="67">
        <v>96.156288403358602</v>
      </c>
      <c r="T12" s="67">
        <v>68.671555940138788</v>
      </c>
      <c r="U12" s="67">
        <v>102.61998407393079</v>
      </c>
      <c r="V12" s="40">
        <v>81.100264661081482</v>
      </c>
      <c r="W12" s="67">
        <v>76</v>
      </c>
      <c r="X12" s="40">
        <v>89.488987971700112</v>
      </c>
      <c r="Y12" s="67">
        <v>113.684211730957</v>
      </c>
      <c r="Z12" s="40">
        <v>51.320754716981128</v>
      </c>
      <c r="AA12" s="67">
        <v>114.3175487465181</v>
      </c>
      <c r="AB12" s="40">
        <v>69.68862</v>
      </c>
      <c r="AC12" s="67">
        <v>93</v>
      </c>
      <c r="AD12" s="67">
        <v>26.623840000000001</v>
      </c>
      <c r="AE12" s="67">
        <v>74.632616219726501</v>
      </c>
      <c r="AF12" s="67">
        <v>87.607124068642037</v>
      </c>
      <c r="AG12" s="48"/>
      <c r="AH12" s="67">
        <v>73.888527745197692</v>
      </c>
      <c r="AI12" s="67">
        <v>57.911285483837133</v>
      </c>
      <c r="AJ12" s="67">
        <v>48</v>
      </c>
      <c r="AK12" s="67">
        <v>18.509226598831095</v>
      </c>
      <c r="AL12" s="67">
        <v>67.873580000000004</v>
      </c>
      <c r="AHA12">
        <v>73.888527745197692</v>
      </c>
    </row>
    <row r="13" spans="1:885">
      <c r="A13" s="3">
        <v>2.2000000000000002</v>
      </c>
      <c r="B13" s="21" t="s">
        <v>12</v>
      </c>
      <c r="C13" s="40">
        <v>22.076655052264808</v>
      </c>
      <c r="D13" s="40">
        <v>18.807279050219499</v>
      </c>
      <c r="E13" s="67">
        <v>22.725358591897891</v>
      </c>
      <c r="F13" s="67">
        <v>16.152887642383579</v>
      </c>
      <c r="G13" s="40">
        <v>21.77840320004351</v>
      </c>
      <c r="H13" s="67">
        <v>17.879235221440471</v>
      </c>
      <c r="I13" s="40">
        <v>25.091242984539349</v>
      </c>
      <c r="J13" s="67">
        <v>18.310860966406551</v>
      </c>
      <c r="K13" s="40">
        <v>16.70252843035928</v>
      </c>
      <c r="L13" s="67">
        <v>15</v>
      </c>
      <c r="M13" s="67">
        <v>16.364172568403983</v>
      </c>
      <c r="N13" s="67">
        <v>15.83492</v>
      </c>
      <c r="O13" s="67">
        <v>23.011154724333387</v>
      </c>
      <c r="P13" s="67">
        <v>17</v>
      </c>
      <c r="Q13" s="67">
        <v>6.7684725645624626</v>
      </c>
      <c r="R13" s="67">
        <v>10.527990500444041</v>
      </c>
      <c r="S13" s="67">
        <v>13.033294960315333</v>
      </c>
      <c r="T13" s="67">
        <v>16.779658854880168</v>
      </c>
      <c r="U13" s="67">
        <v>11.831874143432451</v>
      </c>
      <c r="V13" s="40">
        <v>24.561157654226967</v>
      </c>
      <c r="W13" s="67">
        <v>17</v>
      </c>
      <c r="X13" s="40">
        <v>23.149461250648301</v>
      </c>
      <c r="Y13" s="67">
        <v>22.936288833618161</v>
      </c>
      <c r="Z13" s="40">
        <v>10.062893081761006</v>
      </c>
      <c r="AA13" s="67">
        <v>15.041782729805014</v>
      </c>
      <c r="AB13" s="40">
        <v>20.00808</v>
      </c>
      <c r="AC13" s="67">
        <v>20</v>
      </c>
      <c r="AD13" s="67">
        <v>13.12486</v>
      </c>
      <c r="AE13" s="67">
        <v>23.27829672753461</v>
      </c>
      <c r="AF13" s="67">
        <v>16.12929924373509</v>
      </c>
      <c r="AG13" s="48"/>
      <c r="AH13" s="67">
        <v>16.846224547534799</v>
      </c>
      <c r="AI13" s="67">
        <v>13.84615377187729</v>
      </c>
      <c r="AJ13" s="67">
        <v>15</v>
      </c>
      <c r="AK13" s="67">
        <v>13.859667335647526</v>
      </c>
      <c r="AL13" s="67">
        <v>8.005096</v>
      </c>
      <c r="AHA13">
        <v>16.846224547534799</v>
      </c>
    </row>
    <row r="14" spans="1:885">
      <c r="A14" s="3">
        <v>2.2999999999999998</v>
      </c>
      <c r="B14" s="19" t="s">
        <v>13</v>
      </c>
      <c r="C14" s="40">
        <v>27.094076655052266</v>
      </c>
      <c r="D14" s="40">
        <v>14.8567958953332</v>
      </c>
      <c r="E14" s="67">
        <v>14</v>
      </c>
      <c r="F14" s="67">
        <v>31.109265089035041</v>
      </c>
      <c r="G14" s="40">
        <v>20.433925683013356</v>
      </c>
      <c r="H14" s="67">
        <v>15.454579436911439</v>
      </c>
      <c r="I14" s="40">
        <v>20.564295743146431</v>
      </c>
      <c r="J14" s="67">
        <v>14.000000738888927</v>
      </c>
      <c r="K14" s="40">
        <v>18.63070284820083</v>
      </c>
      <c r="L14" s="67">
        <v>14</v>
      </c>
      <c r="M14" s="67">
        <v>18</v>
      </c>
      <c r="N14" s="67">
        <v>28.69997</v>
      </c>
      <c r="O14" s="67">
        <v>17.668903160421412</v>
      </c>
      <c r="P14" s="67" t="s">
        <v>248</v>
      </c>
      <c r="Q14" s="67">
        <v>11.251923142856905</v>
      </c>
      <c r="R14" s="67">
        <v>4</v>
      </c>
      <c r="S14" s="67">
        <v>8</v>
      </c>
      <c r="T14" s="67">
        <v>12</v>
      </c>
      <c r="U14" s="67">
        <v>13.760707468946849</v>
      </c>
      <c r="V14" s="40">
        <v>14.332472581873574</v>
      </c>
      <c r="W14" s="67">
        <v>16</v>
      </c>
      <c r="X14" s="40">
        <v>25.485674759473341</v>
      </c>
      <c r="Y14" s="67" t="s">
        <v>248</v>
      </c>
      <c r="Z14" s="40">
        <v>6.0377358490566042</v>
      </c>
      <c r="AA14" s="67">
        <v>11.030640668523677</v>
      </c>
      <c r="AB14" s="40">
        <v>25</v>
      </c>
      <c r="AC14" s="67">
        <v>26</v>
      </c>
      <c r="AD14" s="67">
        <v>11.442565999999999</v>
      </c>
      <c r="AE14" s="67">
        <v>17.248554664331316</v>
      </c>
      <c r="AF14" s="67">
        <v>22.565519698607101</v>
      </c>
      <c r="AG14" s="48"/>
      <c r="AH14" s="67">
        <v>12.37578048067917</v>
      </c>
      <c r="AI14" s="67">
        <v>19.40482864379883</v>
      </c>
      <c r="AJ14" s="67">
        <v>12.999999999999998</v>
      </c>
      <c r="AK14" s="67">
        <v>7.9013663631013484</v>
      </c>
      <c r="AL14" s="67">
        <v>3</v>
      </c>
      <c r="AHA14">
        <v>12.37578048067917</v>
      </c>
    </row>
    <row r="15" spans="1:885">
      <c r="A15" s="3" t="s">
        <v>0</v>
      </c>
      <c r="B15" s="19" t="s">
        <v>14</v>
      </c>
      <c r="C15" s="101" t="s">
        <v>248</v>
      </c>
      <c r="D15" s="40">
        <v>14.25006</v>
      </c>
      <c r="E15" s="67">
        <v>14.338197282193567</v>
      </c>
      <c r="F15" s="67">
        <v>26.921479403972629</v>
      </c>
      <c r="G15" s="40" t="s">
        <v>248</v>
      </c>
      <c r="H15" s="67">
        <v>14.6059993225258</v>
      </c>
      <c r="I15" s="40">
        <v>19.737944075000939</v>
      </c>
      <c r="J15" s="67">
        <v>12.645040667377147</v>
      </c>
      <c r="K15" s="40">
        <v>18.211457205918069</v>
      </c>
      <c r="L15" s="67">
        <v>13</v>
      </c>
      <c r="M15" s="67">
        <v>18.233809881885819</v>
      </c>
      <c r="N15" s="67" t="s">
        <v>248</v>
      </c>
      <c r="O15" s="67">
        <v>16.291313099331006</v>
      </c>
      <c r="P15" s="67">
        <v>9</v>
      </c>
      <c r="Q15" s="67" t="s">
        <v>248</v>
      </c>
      <c r="R15" s="67">
        <v>4</v>
      </c>
      <c r="S15" s="67">
        <v>7.7151848015949245</v>
      </c>
      <c r="T15" s="67">
        <v>12.429720845826765</v>
      </c>
      <c r="U15" s="67">
        <v>11.12118825670518</v>
      </c>
      <c r="V15" s="40">
        <v>14.019659177456207</v>
      </c>
      <c r="W15" s="67">
        <v>16</v>
      </c>
      <c r="X15" s="40">
        <v>25.102666078855862</v>
      </c>
      <c r="Y15" s="67">
        <v>21.939058303833011</v>
      </c>
      <c r="Z15" s="40" t="s">
        <v>248</v>
      </c>
      <c r="AA15" s="67">
        <v>11</v>
      </c>
      <c r="AB15" s="40">
        <v>23.07497</v>
      </c>
      <c r="AC15" s="67">
        <v>19</v>
      </c>
      <c r="AD15" s="67">
        <v>9.5995109999999997</v>
      </c>
      <c r="AE15" s="67">
        <v>14.506590846695989</v>
      </c>
      <c r="AF15" s="67">
        <v>20.078649823092451</v>
      </c>
      <c r="AG15" s="48"/>
      <c r="AH15" s="67">
        <v>11.97350164878344</v>
      </c>
      <c r="AI15" s="67">
        <v>18.798427748680119</v>
      </c>
      <c r="AJ15" s="67" t="s">
        <v>248</v>
      </c>
      <c r="AK15" s="67" t="s">
        <v>248</v>
      </c>
      <c r="AL15" s="67">
        <v>2.7896909999999999</v>
      </c>
      <c r="AHA15">
        <v>11.97350164878344</v>
      </c>
    </row>
    <row r="16" spans="1:885">
      <c r="A16" s="3" t="s">
        <v>1</v>
      </c>
      <c r="B16" s="19" t="s">
        <v>15</v>
      </c>
      <c r="C16" s="101" t="s">
        <v>248</v>
      </c>
      <c r="D16" s="40">
        <v>0.60673469999999996</v>
      </c>
      <c r="E16" s="67" t="s">
        <v>248</v>
      </c>
      <c r="F16" s="67">
        <v>3.5895305871963501</v>
      </c>
      <c r="G16" s="40" t="s">
        <v>248</v>
      </c>
      <c r="H16" s="67">
        <v>0.84857987591942674</v>
      </c>
      <c r="I16" s="40">
        <v>0.82635101241037745</v>
      </c>
      <c r="J16" s="67">
        <v>0.88496164670630917</v>
      </c>
      <c r="K16" s="40">
        <v>0.41924498644306851</v>
      </c>
      <c r="L16" s="67">
        <v>1</v>
      </c>
      <c r="M16" s="67" t="s">
        <v>248</v>
      </c>
      <c r="N16" s="67" t="s">
        <v>248</v>
      </c>
      <c r="O16" s="67">
        <v>1.377584053633097</v>
      </c>
      <c r="P16" s="230">
        <v>1</v>
      </c>
      <c r="Q16" s="67" t="s">
        <v>248</v>
      </c>
      <c r="R16" s="67" t="s">
        <v>248</v>
      </c>
      <c r="S16" s="67" t="s">
        <v>248</v>
      </c>
      <c r="T16" s="67" t="s">
        <v>248</v>
      </c>
      <c r="U16" s="67">
        <v>2.6395192122416651</v>
      </c>
      <c r="V16" s="40">
        <v>0.31281340441736483</v>
      </c>
      <c r="W16" s="67" t="s">
        <v>248</v>
      </c>
      <c r="X16" s="40">
        <v>0.38300945503572947</v>
      </c>
      <c r="Y16" s="67">
        <v>1.994459867477417</v>
      </c>
      <c r="Z16" s="40" t="s">
        <v>248</v>
      </c>
      <c r="AA16" s="67" t="s">
        <v>248</v>
      </c>
      <c r="AB16" s="40">
        <v>2.0755780000000001</v>
      </c>
      <c r="AC16" s="67">
        <v>7</v>
      </c>
      <c r="AD16" s="67">
        <v>1.8430550000000001</v>
      </c>
      <c r="AE16" s="67">
        <v>3.0027200245688896</v>
      </c>
      <c r="AF16" s="67">
        <v>2.481335765709535</v>
      </c>
      <c r="AG16" s="48"/>
      <c r="AH16" s="67">
        <v>0.40227886170910659</v>
      </c>
      <c r="AI16" s="67">
        <v>0.60640089511871331</v>
      </c>
      <c r="AJ16" s="67" t="s">
        <v>248</v>
      </c>
      <c r="AK16" s="67" t="s">
        <v>248</v>
      </c>
      <c r="AL16" s="67">
        <v>0.36404039999999999</v>
      </c>
      <c r="AHA16">
        <v>0.40227886170910659</v>
      </c>
    </row>
    <row r="17" spans="1:885">
      <c r="A17" s="3">
        <v>2.4</v>
      </c>
      <c r="B17" s="19" t="s">
        <v>16</v>
      </c>
      <c r="C17" s="101" t="s">
        <v>248</v>
      </c>
      <c r="D17" s="40">
        <v>5.4690810000000001</v>
      </c>
      <c r="E17" s="67">
        <v>3.7869707152813028</v>
      </c>
      <c r="F17" s="67">
        <v>3.5895305871963501</v>
      </c>
      <c r="G17" s="40">
        <v>11.300430963827949</v>
      </c>
      <c r="H17" s="67" t="s">
        <v>248</v>
      </c>
      <c r="I17" s="40" t="s">
        <v>248</v>
      </c>
      <c r="J17" s="67">
        <v>0.77073494067767756</v>
      </c>
      <c r="K17" s="40" t="s">
        <v>248</v>
      </c>
      <c r="L17" s="67">
        <v>9</v>
      </c>
      <c r="M17" s="67">
        <v>9.581525533722548</v>
      </c>
      <c r="N17" s="67" t="s">
        <v>248</v>
      </c>
      <c r="O17" s="67">
        <v>4.9158512550866167</v>
      </c>
      <c r="P17" s="230"/>
      <c r="Q17" s="67">
        <v>0.628234365832125</v>
      </c>
      <c r="R17" s="67">
        <v>11.529798256433581</v>
      </c>
      <c r="S17" s="67">
        <v>15.799999584803086</v>
      </c>
      <c r="T17" s="67">
        <v>3.2704396064843206</v>
      </c>
      <c r="U17" s="67">
        <v>5.1746431473249173</v>
      </c>
      <c r="V17" s="40">
        <v>4.6867894135567409</v>
      </c>
      <c r="W17" s="67">
        <v>6</v>
      </c>
      <c r="X17" s="40" t="s">
        <v>248</v>
      </c>
      <c r="Y17" s="67">
        <v>8.9750690460205078</v>
      </c>
      <c r="Z17" s="40">
        <v>4.0251572327044025</v>
      </c>
      <c r="AA17" s="67">
        <v>9.0250696378830089</v>
      </c>
      <c r="AB17" s="40">
        <v>3.4142739999999998</v>
      </c>
      <c r="AC17" s="67" t="s">
        <v>248</v>
      </c>
      <c r="AD17" s="67">
        <v>1.074327</v>
      </c>
      <c r="AE17" s="67">
        <v>5.0600436584690121</v>
      </c>
      <c r="AF17" s="67">
        <v>1.8396107634755881</v>
      </c>
      <c r="AG17" s="48"/>
      <c r="AH17" s="67" t="s">
        <v>248</v>
      </c>
      <c r="AI17" s="67">
        <v>1.1117349743843079</v>
      </c>
      <c r="AJ17" s="67">
        <v>2</v>
      </c>
      <c r="AK17" s="67">
        <v>1.1277350523132343</v>
      </c>
      <c r="AL17" s="67">
        <v>0.2846341</v>
      </c>
      <c r="AHA17" t="s">
        <v>248</v>
      </c>
    </row>
    <row r="18" spans="1:885">
      <c r="A18" s="3">
        <v>2.5</v>
      </c>
      <c r="B18" s="19" t="s">
        <v>17</v>
      </c>
      <c r="C18" s="40">
        <v>4.013937282229965</v>
      </c>
      <c r="D18" s="40">
        <v>8.7188280000000002</v>
      </c>
      <c r="E18" s="67">
        <v>3.5934697177641834</v>
      </c>
      <c r="F18" s="67">
        <v>2.393020391464233</v>
      </c>
      <c r="G18" s="40">
        <v>3.8569453176860868</v>
      </c>
      <c r="H18" s="67">
        <v>9.5192364517874921</v>
      </c>
      <c r="I18" s="40">
        <v>12.97384847403112</v>
      </c>
      <c r="J18" s="67" t="s">
        <v>248</v>
      </c>
      <c r="K18" s="40">
        <v>15.981650427906519</v>
      </c>
      <c r="L18" s="67">
        <v>10</v>
      </c>
      <c r="M18" s="67">
        <v>0.29988353831945125</v>
      </c>
      <c r="N18" s="67">
        <v>8.7633209999999995</v>
      </c>
      <c r="O18" s="67">
        <v>2.9358864406139076</v>
      </c>
      <c r="P18" s="67">
        <v>1</v>
      </c>
      <c r="Q18" s="67">
        <v>0.4286166613613398</v>
      </c>
      <c r="R18" s="67">
        <v>0</v>
      </c>
      <c r="S18" s="67">
        <v>0.36642134673293514</v>
      </c>
      <c r="T18" s="67">
        <v>2.1120124163011864</v>
      </c>
      <c r="U18" s="67">
        <v>2.9101809733799691</v>
      </c>
      <c r="V18" s="40">
        <v>5.0801075780654994</v>
      </c>
      <c r="W18" s="67">
        <v>4</v>
      </c>
      <c r="X18" s="40">
        <v>10.18875356770798</v>
      </c>
      <c r="Y18" s="67">
        <v>0.9972299337387085</v>
      </c>
      <c r="Z18" s="40">
        <v>1.0062893081761006</v>
      </c>
      <c r="AA18" s="67">
        <v>1.0027855153203342</v>
      </c>
      <c r="AB18" s="40">
        <v>0.96965970000000001</v>
      </c>
      <c r="AC18" s="67" t="s">
        <v>248</v>
      </c>
      <c r="AD18" s="67">
        <v>2.9306589999999999</v>
      </c>
      <c r="AE18" s="67">
        <v>2</v>
      </c>
      <c r="AF18" s="67">
        <v>5.0189516903458049</v>
      </c>
      <c r="AG18" s="48"/>
      <c r="AH18" s="67">
        <v>7.4274513312366253</v>
      </c>
      <c r="AI18" s="67">
        <v>0.4042672634124756</v>
      </c>
      <c r="AJ18" s="67">
        <v>1</v>
      </c>
      <c r="AK18" s="67">
        <v>0.3371897447117545</v>
      </c>
      <c r="AL18" s="67">
        <v>1.568346</v>
      </c>
      <c r="AHA18">
        <v>7.4274513312366253</v>
      </c>
    </row>
    <row r="19" spans="1:885">
      <c r="A19" s="3">
        <v>2.6</v>
      </c>
      <c r="B19" s="17" t="s">
        <v>18</v>
      </c>
      <c r="C19" s="40">
        <v>25.087108013937282</v>
      </c>
      <c r="D19" s="40">
        <v>7.6848486983829201</v>
      </c>
      <c r="E19" s="67">
        <v>12.958801498071693</v>
      </c>
      <c r="F19" s="67">
        <v>11.965101957321171</v>
      </c>
      <c r="G19" s="40">
        <v>21.56434162842465</v>
      </c>
      <c r="H19" s="67">
        <v>17.20396758198331</v>
      </c>
      <c r="I19" s="40">
        <v>12.966693569363141</v>
      </c>
      <c r="J19" s="67">
        <v>4.084303215560448</v>
      </c>
      <c r="K19" s="40">
        <v>15.12921837636307</v>
      </c>
      <c r="L19" s="67">
        <v>11</v>
      </c>
      <c r="M19" s="67">
        <v>15.633132685758865</v>
      </c>
      <c r="N19" s="67">
        <v>25.89442</v>
      </c>
      <c r="O19" s="67">
        <v>18.147647446049795</v>
      </c>
      <c r="P19" s="67" t="s">
        <v>46</v>
      </c>
      <c r="Q19" s="67">
        <v>7.4588165643688953</v>
      </c>
      <c r="R19" s="67">
        <v>18.305514203193773</v>
      </c>
      <c r="S19" s="67">
        <v>18.539616423495062</v>
      </c>
      <c r="T19" s="67">
        <v>17.811793752840735</v>
      </c>
      <c r="U19" s="67">
        <v>6.3674717701301926</v>
      </c>
      <c r="V19" s="40">
        <v>14.830318926123383</v>
      </c>
      <c r="W19" s="67">
        <v>22</v>
      </c>
      <c r="X19" s="40">
        <v>11.61952488318849</v>
      </c>
      <c r="Y19" s="67">
        <v>18.947368621826168</v>
      </c>
      <c r="Z19" s="40">
        <v>23.815513626834385</v>
      </c>
      <c r="AA19" s="67">
        <v>16.044568245125348</v>
      </c>
      <c r="AB19" s="40">
        <v>19.32338</v>
      </c>
      <c r="AC19" s="67">
        <v>26</v>
      </c>
      <c r="AD19" s="67">
        <v>12.182639999999999</v>
      </c>
      <c r="AE19" s="67">
        <v>17.945826290303206</v>
      </c>
      <c r="AF19" s="67">
        <v>22.344371137298278</v>
      </c>
      <c r="AG19" s="48"/>
      <c r="AH19" s="67">
        <v>15.21968580458179</v>
      </c>
      <c r="AI19" s="67">
        <v>13.644020140171049</v>
      </c>
      <c r="AJ19" s="67">
        <v>12</v>
      </c>
      <c r="AK19" s="67">
        <v>10.032057239700046</v>
      </c>
      <c r="AL19" s="67">
        <v>8.1673650000000002</v>
      </c>
      <c r="AHA19">
        <v>15.21968580458179</v>
      </c>
    </row>
    <row r="20" spans="1:885">
      <c r="A20" s="3">
        <v>2.7</v>
      </c>
      <c r="B20" s="17" t="s">
        <v>19</v>
      </c>
      <c r="C20" s="101" t="s">
        <v>248</v>
      </c>
      <c r="D20" s="40">
        <v>1.63204170551278</v>
      </c>
      <c r="E20" s="67" t="s">
        <v>248</v>
      </c>
      <c r="F20" s="67">
        <v>31.707520186901089</v>
      </c>
      <c r="G20" s="40" t="s">
        <v>248</v>
      </c>
      <c r="H20" s="67" t="s">
        <v>248</v>
      </c>
      <c r="I20" s="40" t="s">
        <v>248</v>
      </c>
      <c r="J20" s="67">
        <v>0.88675674680105054</v>
      </c>
      <c r="K20" s="40" t="s">
        <v>248</v>
      </c>
      <c r="L20" s="67" t="s">
        <v>248</v>
      </c>
      <c r="M20" s="67" t="s">
        <v>248</v>
      </c>
      <c r="N20" s="67" t="s">
        <v>248</v>
      </c>
      <c r="O20" s="67">
        <v>0.41869754705981099</v>
      </c>
      <c r="P20" s="48" t="s">
        <v>248</v>
      </c>
      <c r="Q20" s="67"/>
      <c r="R20" s="67" t="s">
        <v>248</v>
      </c>
      <c r="S20" s="67" t="s">
        <v>248</v>
      </c>
      <c r="T20" s="67" t="s">
        <v>248</v>
      </c>
      <c r="U20" s="67">
        <v>4.6945086220560359</v>
      </c>
      <c r="V20" s="40">
        <v>0.82595906321401369</v>
      </c>
      <c r="W20" s="67" t="s">
        <v>248</v>
      </c>
      <c r="X20" s="40" t="s">
        <v>248</v>
      </c>
      <c r="Y20" s="67" t="s">
        <v>248</v>
      </c>
      <c r="Z20" s="40" t="s">
        <v>248</v>
      </c>
      <c r="AA20" s="67" t="s">
        <v>248</v>
      </c>
      <c r="AB20" s="40">
        <v>7.5052989999999999</v>
      </c>
      <c r="AC20" s="67">
        <v>6</v>
      </c>
      <c r="AD20" s="67">
        <v>0.21284690000000001</v>
      </c>
      <c r="AE20" s="67" t="s">
        <v>248</v>
      </c>
      <c r="AF20" s="67">
        <v>3.5978513474237541</v>
      </c>
      <c r="AG20" s="48"/>
      <c r="AH20" s="67" t="s">
        <v>248</v>
      </c>
      <c r="AI20" s="67">
        <v>42.346995842456813</v>
      </c>
      <c r="AJ20" s="67" t="s">
        <v>248</v>
      </c>
      <c r="AK20" s="67" t="s">
        <v>248</v>
      </c>
      <c r="AL20" s="67">
        <v>14.04012</v>
      </c>
      <c r="AHA20" t="s">
        <v>248</v>
      </c>
    </row>
    <row r="21" spans="1:885">
      <c r="A21" s="4">
        <v>3</v>
      </c>
      <c r="B21" s="20" t="s">
        <v>20</v>
      </c>
      <c r="C21" s="42">
        <v>649.25435540069691</v>
      </c>
      <c r="D21" s="42">
        <v>657.36157000000003</v>
      </c>
      <c r="E21" s="43">
        <v>648.45743788364314</v>
      </c>
      <c r="F21" s="43">
        <v>647.91027098894119</v>
      </c>
      <c r="G21" s="42">
        <v>643.03950391638352</v>
      </c>
      <c r="H21" s="43">
        <v>650.69229584254208</v>
      </c>
      <c r="I21" s="42">
        <v>628.10868004716758</v>
      </c>
      <c r="J21" s="43">
        <v>742.955399211535</v>
      </c>
      <c r="K21" s="42">
        <v>649.18088615043234</v>
      </c>
      <c r="L21" s="43">
        <v>689</v>
      </c>
      <c r="M21" s="43">
        <v>686.29311534782698</v>
      </c>
      <c r="N21" s="43">
        <v>594.72987999999998</v>
      </c>
      <c r="O21" s="43">
        <v>710.31841844134397</v>
      </c>
      <c r="P21" s="43">
        <v>632</v>
      </c>
      <c r="Q21" s="43">
        <v>675.83242458591144</v>
      </c>
      <c r="R21" s="43">
        <v>639.6029005427647</v>
      </c>
      <c r="S21" s="43">
        <v>644.32348964371533</v>
      </c>
      <c r="T21" s="43">
        <v>676.86338955921019</v>
      </c>
      <c r="U21" s="43">
        <v>600.34365080653743</v>
      </c>
      <c r="V21" s="42">
        <v>666.23253998476775</v>
      </c>
      <c r="W21" s="43">
        <v>639</v>
      </c>
      <c r="X21" s="42">
        <v>595.85616328361721</v>
      </c>
      <c r="Y21" s="43">
        <v>665.15234375</v>
      </c>
      <c r="Z21" s="42">
        <v>677.23270440251588</v>
      </c>
      <c r="AA21" s="43">
        <v>631.75487465181061</v>
      </c>
      <c r="AB21" s="42">
        <v>696.87999000000002</v>
      </c>
      <c r="AC21" s="43">
        <v>611</v>
      </c>
      <c r="AD21" s="43">
        <v>679.09766000000002</v>
      </c>
      <c r="AE21" s="43">
        <v>634.91689171502401</v>
      </c>
      <c r="AF21" s="43">
        <v>652.30133056640625</v>
      </c>
      <c r="AG21" s="48"/>
      <c r="AH21" s="43">
        <v>732.60542089934461</v>
      </c>
      <c r="AI21" s="43">
        <v>661.17910931110384</v>
      </c>
      <c r="AJ21" s="43">
        <v>696</v>
      </c>
      <c r="AK21" s="43">
        <v>702.77192738969404</v>
      </c>
      <c r="AL21" s="43">
        <v>695.37227000000007</v>
      </c>
      <c r="AHA21">
        <v>732.60542089934461</v>
      </c>
    </row>
    <row r="22" spans="1:885">
      <c r="A22" s="3">
        <v>3.1</v>
      </c>
      <c r="B22" s="21" t="s">
        <v>21</v>
      </c>
      <c r="C22" s="40">
        <v>512.78048780487813</v>
      </c>
      <c r="D22" s="40">
        <v>513.28082926147295</v>
      </c>
      <c r="E22" s="67">
        <v>505.72552677314917</v>
      </c>
      <c r="F22" s="67">
        <v>523.47321063280106</v>
      </c>
      <c r="G22" s="40">
        <v>479.38033730943374</v>
      </c>
      <c r="H22" s="67">
        <v>519.79926699976204</v>
      </c>
      <c r="I22" s="40">
        <v>499.02970173254289</v>
      </c>
      <c r="J22" s="67">
        <v>509.22062687553313</v>
      </c>
      <c r="K22" s="40">
        <v>508.86187870641521</v>
      </c>
      <c r="L22" s="67">
        <v>501</v>
      </c>
      <c r="M22" s="67">
        <v>502.86323913049296</v>
      </c>
      <c r="N22" s="67">
        <v>481.88049999999998</v>
      </c>
      <c r="O22" s="67">
        <v>514.30252558286327</v>
      </c>
      <c r="P22" s="67">
        <v>466</v>
      </c>
      <c r="Q22" s="67">
        <v>471.47349482751139</v>
      </c>
      <c r="R22" s="67">
        <v>510.13636529996893</v>
      </c>
      <c r="S22" s="67">
        <v>500.65889994277705</v>
      </c>
      <c r="T22" s="67">
        <v>514.64988837020508</v>
      </c>
      <c r="U22" s="67">
        <v>470.71515408794841</v>
      </c>
      <c r="V22" s="40">
        <v>496.07213442498096</v>
      </c>
      <c r="W22" s="67">
        <v>522</v>
      </c>
      <c r="X22" s="40">
        <v>495.84066291766982</v>
      </c>
      <c r="Y22" s="67">
        <v>505.5955810546875</v>
      </c>
      <c r="Z22" s="40">
        <v>503.1446540880504</v>
      </c>
      <c r="AA22" s="67">
        <v>501.39275766016715</v>
      </c>
      <c r="AB22" s="40">
        <v>520.09050000000002</v>
      </c>
      <c r="AC22" s="67">
        <v>482</v>
      </c>
      <c r="AD22" s="67">
        <v>511.15690000000001</v>
      </c>
      <c r="AE22" s="67">
        <v>504.45306059154154</v>
      </c>
      <c r="AF22" s="67">
        <v>538.01938153055221</v>
      </c>
      <c r="AG22" s="48"/>
      <c r="AH22" s="67">
        <v>535.41064978198847</v>
      </c>
      <c r="AI22" s="67">
        <v>500.78607255220408</v>
      </c>
      <c r="AJ22" s="67">
        <v>540</v>
      </c>
      <c r="AK22" s="67">
        <v>534.40405226534028</v>
      </c>
      <c r="AL22" s="67">
        <v>549.07380000000001</v>
      </c>
      <c r="AHA22">
        <v>535.41064978198847</v>
      </c>
    </row>
    <row r="23" spans="1:885">
      <c r="A23" s="3">
        <v>3.2</v>
      </c>
      <c r="B23" s="17" t="s">
        <v>22</v>
      </c>
      <c r="C23" s="40">
        <v>87.303135888501743</v>
      </c>
      <c r="D23" s="40">
        <v>94.544012336332798</v>
      </c>
      <c r="E23" s="67">
        <v>95.600732998143684</v>
      </c>
      <c r="F23" s="67">
        <v>79.567928016185775</v>
      </c>
      <c r="G23" s="40">
        <v>117.86029136553374</v>
      </c>
      <c r="H23" s="67">
        <v>84.868614600298315</v>
      </c>
      <c r="I23" s="40">
        <v>85.809228074611383</v>
      </c>
      <c r="J23" s="67">
        <v>134.30880708852035</v>
      </c>
      <c r="K23" s="40">
        <v>92.369870233653273</v>
      </c>
      <c r="L23" s="67">
        <v>134</v>
      </c>
      <c r="M23" s="67">
        <v>105.1842675883465</v>
      </c>
      <c r="N23" s="67">
        <v>76.094930000000005</v>
      </c>
      <c r="O23" s="67">
        <v>128.97600339449372</v>
      </c>
      <c r="P23" s="67">
        <v>89</v>
      </c>
      <c r="Q23" s="67">
        <v>119.10505211194737</v>
      </c>
      <c r="R23" s="67">
        <v>92.98884096220543</v>
      </c>
      <c r="S23" s="67">
        <v>91.072609195207562</v>
      </c>
      <c r="T23" s="67">
        <v>111.46411362489177</v>
      </c>
      <c r="U23" s="67">
        <v>74.721481133729583</v>
      </c>
      <c r="V23" s="40">
        <v>112.0169268849962</v>
      </c>
      <c r="W23" s="67">
        <v>79</v>
      </c>
      <c r="X23" s="40">
        <v>70.926761059245109</v>
      </c>
      <c r="Y23" s="67">
        <v>98.725761413574219</v>
      </c>
      <c r="Z23" s="40">
        <v>115.72327044025157</v>
      </c>
      <c r="AA23" s="67">
        <v>89.247910863509745</v>
      </c>
      <c r="AB23" s="40">
        <v>128.4768</v>
      </c>
      <c r="AC23" s="67">
        <v>80</v>
      </c>
      <c r="AD23" s="67">
        <v>115.6352</v>
      </c>
      <c r="AE23" s="67">
        <v>80.010597883463603</v>
      </c>
      <c r="AF23" s="67">
        <v>66.244318330824143</v>
      </c>
      <c r="AG23" s="48"/>
      <c r="AH23" s="67">
        <v>143.4313031061902</v>
      </c>
      <c r="AI23" s="67">
        <v>107.33295843601231</v>
      </c>
      <c r="AJ23" s="67">
        <v>103.99999999999999</v>
      </c>
      <c r="AK23" s="67">
        <v>87.240301029293789</v>
      </c>
      <c r="AL23" s="67">
        <v>76.461849999999998</v>
      </c>
      <c r="AHA23">
        <v>143.4313031061902</v>
      </c>
    </row>
    <row r="24" spans="1:885" ht="22.5">
      <c r="A24" s="3">
        <v>3.3</v>
      </c>
      <c r="B24" s="17" t="s">
        <v>23</v>
      </c>
      <c r="C24" s="40">
        <v>49.170731707317074</v>
      </c>
      <c r="D24" s="40">
        <v>49.536731664915301</v>
      </c>
      <c r="E24" s="67">
        <v>47.13117811235027</v>
      </c>
      <c r="F24" s="67">
        <v>45.467387437820427</v>
      </c>
      <c r="G24" s="40">
        <v>45.798875241416063</v>
      </c>
      <c r="H24" s="67">
        <v>46.024440950697681</v>
      </c>
      <c r="I24" s="40">
        <v>43.269769315943897</v>
      </c>
      <c r="J24" s="67">
        <v>99.4259652474815</v>
      </c>
      <c r="K24" s="40">
        <v>47.949129578774773</v>
      </c>
      <c r="L24" s="67">
        <v>54</v>
      </c>
      <c r="M24" s="67">
        <v>78.245608628987512</v>
      </c>
      <c r="N24" s="67">
        <v>36.754449999999999</v>
      </c>
      <c r="O24" s="67">
        <v>67.039889463986938</v>
      </c>
      <c r="P24" s="67">
        <v>77</v>
      </c>
      <c r="Q24" s="67">
        <v>85.253877646452622</v>
      </c>
      <c r="R24" s="67">
        <v>36.477694280590377</v>
      </c>
      <c r="S24" s="67">
        <v>52.591980505730646</v>
      </c>
      <c r="T24" s="67">
        <v>50.749387564113334</v>
      </c>
      <c r="U24" s="67">
        <v>54.907015584859479</v>
      </c>
      <c r="V24" s="40">
        <v>58.143478674790558</v>
      </c>
      <c r="W24" s="67">
        <v>37</v>
      </c>
      <c r="X24" s="40">
        <v>29.08871071279771</v>
      </c>
      <c r="Y24" s="67">
        <v>60.831024169921882</v>
      </c>
      <c r="Z24" s="40">
        <v>58.364779874213951</v>
      </c>
      <c r="AA24" s="67">
        <v>41.114206128133702</v>
      </c>
      <c r="AB24" s="40">
        <v>48.312690000000003</v>
      </c>
      <c r="AC24" s="67">
        <v>49</v>
      </c>
      <c r="AD24" s="67">
        <v>52.30556</v>
      </c>
      <c r="AE24" s="67">
        <v>50.45323324001901</v>
      </c>
      <c r="AF24" s="67">
        <v>48.037606862328168</v>
      </c>
      <c r="AG24" s="48"/>
      <c r="AH24" s="67">
        <v>53.763441298378893</v>
      </c>
      <c r="AI24" s="67">
        <v>53.060078322887421</v>
      </c>
      <c r="AJ24" s="67">
        <v>51.999999999999993</v>
      </c>
      <c r="AK24" s="67">
        <v>81.127574095059899</v>
      </c>
      <c r="AL24" s="67">
        <v>69.836619999999996</v>
      </c>
      <c r="AHA24">
        <v>53.763441298378893</v>
      </c>
    </row>
    <row r="25" spans="1:885">
      <c r="A25" s="4">
        <v>4</v>
      </c>
      <c r="B25" s="20" t="s">
        <v>24</v>
      </c>
      <c r="C25" s="42">
        <v>297.03135888501743</v>
      </c>
      <c r="D25" s="42">
        <v>321.97859999999997</v>
      </c>
      <c r="E25" s="43">
        <v>365.17312994382337</v>
      </c>
      <c r="F25" s="43">
        <v>225.542171895504</v>
      </c>
      <c r="G25" s="42">
        <v>339.54260568160714</v>
      </c>
      <c r="H25" s="43">
        <v>324.78124626106001</v>
      </c>
      <c r="I25" s="42">
        <v>350.28768146129732</v>
      </c>
      <c r="J25" s="43">
        <v>319.1308068430148</v>
      </c>
      <c r="K25" s="42">
        <v>358.0432393418123</v>
      </c>
      <c r="L25" s="43">
        <v>375</v>
      </c>
      <c r="M25" s="43">
        <v>308.15711648269581</v>
      </c>
      <c r="N25" s="43">
        <v>337.57702</v>
      </c>
      <c r="O25" s="43">
        <v>366.0957532175384</v>
      </c>
      <c r="P25" s="43">
        <v>284</v>
      </c>
      <c r="Q25" s="43">
        <v>272.4477894006414</v>
      </c>
      <c r="R25" s="43">
        <v>290.47875347106975</v>
      </c>
      <c r="S25" s="43">
        <v>282.19783185362007</v>
      </c>
      <c r="T25" s="43">
        <v>299.04139473576328</v>
      </c>
      <c r="U25" s="43">
        <v>212.8435502473632</v>
      </c>
      <c r="V25" s="42">
        <v>329.58532083015996</v>
      </c>
      <c r="W25" s="43">
        <v>306</v>
      </c>
      <c r="X25" s="42">
        <v>367.08754114380281</v>
      </c>
      <c r="Y25" s="43">
        <v>281.21884155273438</v>
      </c>
      <c r="Z25" s="42">
        <v>289.14046121593293</v>
      </c>
      <c r="AA25" s="43">
        <v>336.93593314763228</v>
      </c>
      <c r="AB25" s="42">
        <v>347.16925599999996</v>
      </c>
      <c r="AC25" s="43">
        <v>338</v>
      </c>
      <c r="AD25" s="43">
        <v>300.95495099999999</v>
      </c>
      <c r="AE25" s="43">
        <v>326.51573343354073</v>
      </c>
      <c r="AF25" s="43">
        <v>304.91299438476563</v>
      </c>
      <c r="AG25" s="48"/>
      <c r="AH25" s="43">
        <v>271.27491646679118</v>
      </c>
      <c r="AI25" s="43">
        <v>275.6092068314552</v>
      </c>
      <c r="AJ25" s="43">
        <v>248</v>
      </c>
      <c r="AK25" s="43">
        <v>282.6432935175763</v>
      </c>
      <c r="AL25" s="43">
        <v>334.19431999999995</v>
      </c>
      <c r="AHA25">
        <v>271.27491646679118</v>
      </c>
    </row>
    <row r="26" spans="1:885">
      <c r="A26" s="3">
        <v>4.0999999999999996</v>
      </c>
      <c r="B26" s="19" t="s">
        <v>25</v>
      </c>
      <c r="C26" s="40">
        <v>23.080139372822302</v>
      </c>
      <c r="D26" s="40">
        <v>43.000707580478299</v>
      </c>
      <c r="E26" s="67">
        <v>26.627219337662915</v>
      </c>
      <c r="F26" s="67">
        <v>23.331948816776279</v>
      </c>
      <c r="G26" s="40">
        <v>24.658908166266038</v>
      </c>
      <c r="H26" s="67">
        <v>41.212488452571961</v>
      </c>
      <c r="I26" s="40">
        <v>40.405432495396553</v>
      </c>
      <c r="J26" s="67">
        <v>17.059130900343018</v>
      </c>
      <c r="K26" s="40">
        <v>34.276792301535117</v>
      </c>
      <c r="L26" s="67">
        <v>33</v>
      </c>
      <c r="M26" s="67">
        <v>17.067250161795329</v>
      </c>
      <c r="N26" s="67">
        <v>22.75798</v>
      </c>
      <c r="O26" s="67">
        <v>43.762454194295678</v>
      </c>
      <c r="P26" s="67">
        <v>11</v>
      </c>
      <c r="Q26" s="67">
        <v>31.384966019577355</v>
      </c>
      <c r="R26" s="67">
        <v>30.415045634968422</v>
      </c>
      <c r="S26" s="67">
        <v>19.640216447021402</v>
      </c>
      <c r="T26" s="67">
        <v>38.815924069862341</v>
      </c>
      <c r="U26" s="67">
        <v>18.034527270100568</v>
      </c>
      <c r="V26" s="40">
        <v>24.564036557501908</v>
      </c>
      <c r="W26" s="67">
        <v>19</v>
      </c>
      <c r="X26" s="40">
        <v>46.419511575295758</v>
      </c>
      <c r="Y26" s="67">
        <v>28.919668197631839</v>
      </c>
      <c r="Z26" s="40">
        <v>20.125786163522012</v>
      </c>
      <c r="AA26" s="67">
        <v>35.097493036211702</v>
      </c>
      <c r="AB26" s="40">
        <v>46.700629999999997</v>
      </c>
      <c r="AC26" s="67">
        <v>36</v>
      </c>
      <c r="AD26" s="67">
        <v>13.43975</v>
      </c>
      <c r="AE26" s="67">
        <v>23.243505211516599</v>
      </c>
      <c r="AF26" s="67">
        <v>22.74596238471479</v>
      </c>
      <c r="AG26" s="48"/>
      <c r="AH26" s="67">
        <v>24.048651176558451</v>
      </c>
      <c r="AI26" s="67">
        <v>30.623245203495031</v>
      </c>
      <c r="AJ26" s="67">
        <v>24</v>
      </c>
      <c r="AK26" s="67">
        <v>9.066890462892502</v>
      </c>
      <c r="AL26" s="67">
        <v>9.1469989999999992</v>
      </c>
      <c r="AHA26">
        <v>24.048651176558451</v>
      </c>
    </row>
    <row r="27" spans="1:885">
      <c r="A27" s="3">
        <v>4.2</v>
      </c>
      <c r="B27" s="17" t="s">
        <v>26</v>
      </c>
      <c r="C27" s="40">
        <v>5.0174216027874561</v>
      </c>
      <c r="D27" s="40">
        <v>9.5467848266378699</v>
      </c>
      <c r="E27" s="67">
        <v>17.573380692668891</v>
      </c>
      <c r="F27" s="67">
        <v>2.393020391464233</v>
      </c>
      <c r="G27" s="40">
        <v>6.9890701139994915</v>
      </c>
      <c r="H27" s="67">
        <v>5.0268859121611058</v>
      </c>
      <c r="I27" s="40">
        <v>2.8702587047514778</v>
      </c>
      <c r="J27" s="67">
        <v>15.929550840726295</v>
      </c>
      <c r="K27" s="40">
        <v>15.775015612401379</v>
      </c>
      <c r="L27" s="67">
        <v>6</v>
      </c>
      <c r="M27" s="67">
        <v>5.304086273133171</v>
      </c>
      <c r="N27" s="67">
        <v>49.698480000000004</v>
      </c>
      <c r="O27" s="67">
        <v>6.508992889505941</v>
      </c>
      <c r="P27" s="67" t="s">
        <v>248</v>
      </c>
      <c r="Q27" s="67">
        <v>3.8984291302286982</v>
      </c>
      <c r="R27" s="67">
        <v>5.5905737677995457</v>
      </c>
      <c r="S27" s="67">
        <v>1.3659767736647335</v>
      </c>
      <c r="T27" s="67">
        <v>12.364523319855792</v>
      </c>
      <c r="U27" s="67">
        <v>6.4139393455943106</v>
      </c>
      <c r="V27" s="40">
        <v>6.2576561309977166</v>
      </c>
      <c r="W27" s="67">
        <v>6</v>
      </c>
      <c r="X27" s="40">
        <v>10.565078899683099</v>
      </c>
      <c r="Y27" s="67">
        <v>2.9916896820068359</v>
      </c>
      <c r="Z27" s="40">
        <v>12.578616352201259</v>
      </c>
      <c r="AA27" s="67">
        <v>5.0139275766016711</v>
      </c>
      <c r="AB27" s="40">
        <v>9.9956160000000001</v>
      </c>
      <c r="AC27" s="67">
        <v>10</v>
      </c>
      <c r="AD27" s="67">
        <v>2.9531510000000001</v>
      </c>
      <c r="AE27" s="67">
        <v>6.3596589195560727</v>
      </c>
      <c r="AF27" s="67">
        <v>5.1046163773228699</v>
      </c>
      <c r="AG27" s="48"/>
      <c r="AH27" s="67">
        <v>3.003080143889747</v>
      </c>
      <c r="AI27" s="67">
        <v>5.8618753194808946</v>
      </c>
      <c r="AJ27" s="67">
        <v>3</v>
      </c>
      <c r="AK27" s="67">
        <v>5.6889994377987492</v>
      </c>
      <c r="AL27" s="67">
        <v>5.7201009999999997</v>
      </c>
      <c r="AHA27">
        <v>3.003080143889747</v>
      </c>
    </row>
    <row r="28" spans="1:885">
      <c r="A28" s="3">
        <v>4.3</v>
      </c>
      <c r="B28" s="21" t="s">
        <v>27</v>
      </c>
      <c r="C28" s="40">
        <v>34.034843205574902</v>
      </c>
      <c r="D28" s="40">
        <v>30.802297297322699</v>
      </c>
      <c r="E28" s="67">
        <v>46.850018446240405</v>
      </c>
      <c r="F28" s="67">
        <v>42.476111948490143</v>
      </c>
      <c r="G28" s="40">
        <v>74.247125468092804</v>
      </c>
      <c r="H28" s="67">
        <v>37.319764546290337</v>
      </c>
      <c r="I28" s="40">
        <v>40.900960314094164</v>
      </c>
      <c r="J28" s="67">
        <v>52.128912751248166</v>
      </c>
      <c r="K28" s="40">
        <v>65.552143554145687</v>
      </c>
      <c r="L28" s="67">
        <v>57</v>
      </c>
      <c r="M28" s="67">
        <v>36.75874015110962</v>
      </c>
      <c r="N28" s="67">
        <v>43.105759999999997</v>
      </c>
      <c r="O28" s="67">
        <v>72.980754111760973</v>
      </c>
      <c r="P28" s="67">
        <v>8</v>
      </c>
      <c r="Q28" s="67">
        <v>38.116870855340551</v>
      </c>
      <c r="R28" s="67">
        <v>35.193452413537244</v>
      </c>
      <c r="S28" s="67">
        <v>31.812089624980949</v>
      </c>
      <c r="T28" s="67">
        <v>30.872877385812387</v>
      </c>
      <c r="U28" s="67">
        <v>41.762542295909817</v>
      </c>
      <c r="V28" s="40">
        <v>67.922710396039605</v>
      </c>
      <c r="W28" s="67">
        <v>59</v>
      </c>
      <c r="X28" s="40">
        <v>68.374513929023863</v>
      </c>
      <c r="Y28" s="67">
        <v>35.900276184082031</v>
      </c>
      <c r="Z28" s="40">
        <v>52.830188679245282</v>
      </c>
      <c r="AA28" s="67">
        <v>63.175487465181057</v>
      </c>
      <c r="AB28" s="40">
        <v>52.94614</v>
      </c>
      <c r="AC28" s="67">
        <v>49</v>
      </c>
      <c r="AD28" s="67">
        <v>63.979480000000002</v>
      </c>
      <c r="AE28" s="67">
        <v>42.141083649873913</v>
      </c>
      <c r="AF28" s="67">
        <v>39.623423129697628</v>
      </c>
      <c r="AG28" s="48"/>
      <c r="AH28" s="67">
        <v>61.132334384233218</v>
      </c>
      <c r="AI28" s="67">
        <v>34.969118285179142</v>
      </c>
      <c r="AJ28" s="67">
        <v>22</v>
      </c>
      <c r="AK28" s="67">
        <v>81.467417593771117</v>
      </c>
      <c r="AL28" s="67">
        <v>91.634349999999998</v>
      </c>
      <c r="AHA28">
        <v>61.132334384233218</v>
      </c>
    </row>
    <row r="29" spans="1:885">
      <c r="A29" s="3">
        <v>4.4000000000000004</v>
      </c>
      <c r="B29" s="21" t="s">
        <v>28</v>
      </c>
      <c r="C29" s="40">
        <v>158.55052264808361</v>
      </c>
      <c r="D29" s="40">
        <v>124.49384882591799</v>
      </c>
      <c r="E29" s="67">
        <v>139.92404211313567</v>
      </c>
      <c r="F29" s="67">
        <v>87.943499386310577</v>
      </c>
      <c r="G29" s="40">
        <v>132.49938940772188</v>
      </c>
      <c r="H29" s="67">
        <v>120.7107900227804</v>
      </c>
      <c r="I29" s="40">
        <v>132.48906081805961</v>
      </c>
      <c r="J29" s="67">
        <v>124.89560659171256</v>
      </c>
      <c r="K29" s="40">
        <v>127.9502681746258</v>
      </c>
      <c r="L29" s="67">
        <v>150</v>
      </c>
      <c r="M29" s="67">
        <v>144.29900268092968</v>
      </c>
      <c r="N29" s="67">
        <v>94.467500000000001</v>
      </c>
      <c r="O29" s="67">
        <v>117.26816996327264</v>
      </c>
      <c r="P29" s="67">
        <v>80</v>
      </c>
      <c r="Q29" s="67">
        <v>101.25372222134574</v>
      </c>
      <c r="R29" s="67">
        <v>138.92334820558554</v>
      </c>
      <c r="S29" s="67">
        <v>159.728964048384</v>
      </c>
      <c r="T29" s="67">
        <v>123.94955410240107</v>
      </c>
      <c r="U29" s="67">
        <v>72.913905005489767</v>
      </c>
      <c r="V29" s="40">
        <v>124.91878332063975</v>
      </c>
      <c r="W29" s="67">
        <v>132</v>
      </c>
      <c r="X29" s="40">
        <v>103.7685692517168</v>
      </c>
      <c r="Y29" s="67">
        <v>137.61773681640631</v>
      </c>
      <c r="Z29" s="40">
        <v>126.2893081761006</v>
      </c>
      <c r="AA29" s="67">
        <v>133.37047353760445</v>
      </c>
      <c r="AB29" s="40">
        <v>140.40969999999999</v>
      </c>
      <c r="AC29" s="67">
        <v>123</v>
      </c>
      <c r="AD29" s="67">
        <v>126.1476</v>
      </c>
      <c r="AE29" s="67">
        <v>144.86852967067824</v>
      </c>
      <c r="AF29" s="67">
        <v>143.29915050878341</v>
      </c>
      <c r="AG29" s="48"/>
      <c r="AH29" s="67">
        <v>117.9841476090712</v>
      </c>
      <c r="AI29" s="67">
        <v>105.5137557506561</v>
      </c>
      <c r="AJ29" s="67">
        <v>132</v>
      </c>
      <c r="AK29" s="67">
        <v>67.530462006290406</v>
      </c>
      <c r="AL29" s="67">
        <v>139.1422</v>
      </c>
      <c r="AHA29">
        <v>117.9841476090712</v>
      </c>
    </row>
    <row r="30" spans="1:885">
      <c r="A30" s="3">
        <v>4.5</v>
      </c>
      <c r="B30" s="21" t="s">
        <v>29</v>
      </c>
      <c r="C30" s="40">
        <v>76.348432055749001</v>
      </c>
      <c r="D30" s="40">
        <v>114.13495903168101</v>
      </c>
      <c r="E30" s="67">
        <v>134.1984693541155</v>
      </c>
      <c r="F30" s="67">
        <v>69.397591352462769</v>
      </c>
      <c r="G30" s="40">
        <v>101.14811252552695</v>
      </c>
      <c r="H30" s="67">
        <v>120.5113244812426</v>
      </c>
      <c r="I30" s="40">
        <v>133.62198176679951</v>
      </c>
      <c r="J30" s="67">
        <v>109.11760575898475</v>
      </c>
      <c r="K30" s="40">
        <v>114.4890096826435</v>
      </c>
      <c r="L30" s="67">
        <v>129</v>
      </c>
      <c r="M30" s="67">
        <v>104.72803721572807</v>
      </c>
      <c r="N30" s="67">
        <v>127.54730000000001</v>
      </c>
      <c r="O30" s="67">
        <v>125.5753820587032</v>
      </c>
      <c r="P30" s="67">
        <v>185</v>
      </c>
      <c r="Q30" s="67">
        <v>97.793801174149039</v>
      </c>
      <c r="R30" s="67">
        <v>80.356333449179033</v>
      </c>
      <c r="S30" s="67">
        <v>69.65058495956896</v>
      </c>
      <c r="T30" s="67">
        <v>93.038515857831726</v>
      </c>
      <c r="U30" s="67">
        <v>73.718636330268751</v>
      </c>
      <c r="V30" s="40">
        <v>105.92213442498095</v>
      </c>
      <c r="W30" s="67">
        <v>90</v>
      </c>
      <c r="X30" s="40">
        <v>137.95988107018789</v>
      </c>
      <c r="Y30" s="67">
        <v>75.789474487304688</v>
      </c>
      <c r="Z30" s="40">
        <v>77.316561844863756</v>
      </c>
      <c r="AA30" s="67">
        <v>100.27855153203343</v>
      </c>
      <c r="AB30" s="40">
        <v>97.117170000000002</v>
      </c>
      <c r="AC30" s="67">
        <v>121</v>
      </c>
      <c r="AD30" s="67">
        <v>94.434970000000007</v>
      </c>
      <c r="AE30" s="67">
        <v>109.90295598191585</v>
      </c>
      <c r="AF30" s="67">
        <v>94.139829432937745</v>
      </c>
      <c r="AG30" s="48"/>
      <c r="AH30" s="67">
        <v>65.106714959136411</v>
      </c>
      <c r="AI30" s="67">
        <v>98.439078640937808</v>
      </c>
      <c r="AJ30" s="67">
        <v>67</v>
      </c>
      <c r="AK30" s="67">
        <v>118.88952401682354</v>
      </c>
      <c r="AL30" s="67">
        <v>88.550669999999997</v>
      </c>
      <c r="AHA30">
        <v>65.106714959136411</v>
      </c>
    </row>
    <row r="31" spans="1:885">
      <c r="A31" s="4">
        <v>5</v>
      </c>
      <c r="B31" s="20" t="s">
        <v>30</v>
      </c>
      <c r="C31" s="42">
        <v>18.062717770034844</v>
      </c>
      <c r="D31" s="42">
        <v>10.29041</v>
      </c>
      <c r="E31" s="43">
        <v>8.4929718125428177</v>
      </c>
      <c r="F31" s="43">
        <v>31.707520186901089</v>
      </c>
      <c r="G31" s="42">
        <v>11.214057622171694</v>
      </c>
      <c r="H31" s="43">
        <v>17.50003769449631</v>
      </c>
      <c r="I31" s="42">
        <v>42.452903631185109</v>
      </c>
      <c r="J31" s="43">
        <v>7.8422754138978696</v>
      </c>
      <c r="K31" s="42">
        <v>4.3227386198903446</v>
      </c>
      <c r="L31" s="43">
        <v>3</v>
      </c>
      <c r="M31" s="43">
        <v>10.551610889662406</v>
      </c>
      <c r="N31" s="43">
        <v>39.904440000000001</v>
      </c>
      <c r="O31" s="43">
        <v>12.062818088763349</v>
      </c>
      <c r="P31" s="43">
        <v>34</v>
      </c>
      <c r="Q31" s="43">
        <v>23.739211287749889</v>
      </c>
      <c r="R31" s="43">
        <v>3.2603797382429387</v>
      </c>
      <c r="S31" s="43">
        <v>7.6051409303103323</v>
      </c>
      <c r="T31" s="43">
        <v>13.025015701008268</v>
      </c>
      <c r="U31" s="43">
        <v>25.788666137435321</v>
      </c>
      <c r="V31" s="42">
        <v>13.825582539984765</v>
      </c>
      <c r="W31" s="43">
        <v>16</v>
      </c>
      <c r="X31" s="42">
        <v>14.37108487250805</v>
      </c>
      <c r="Y31" s="43">
        <v>31.911357879638668</v>
      </c>
      <c r="Z31" s="42">
        <v>5.0314465408805029</v>
      </c>
      <c r="AA31" s="43">
        <v>5.0139275766016711</v>
      </c>
      <c r="AB31" s="42">
        <v>13.661777000000001</v>
      </c>
      <c r="AC31" s="43">
        <v>7</v>
      </c>
      <c r="AD31" s="43">
        <v>34.116820000000004</v>
      </c>
      <c r="AE31" s="43">
        <v>29.869604487012744</v>
      </c>
      <c r="AF31" s="43">
        <v>18.218954086303711</v>
      </c>
      <c r="AG31" s="48"/>
      <c r="AH31" s="43">
        <v>4.4847306378005669</v>
      </c>
      <c r="AI31" s="43">
        <v>9.8034811377525326</v>
      </c>
      <c r="AJ31" s="43">
        <v>15</v>
      </c>
      <c r="AK31" s="43">
        <v>12.246449456421935</v>
      </c>
      <c r="AL31" s="43">
        <v>13.1774</v>
      </c>
      <c r="AHA31">
        <v>4.4847306378005669</v>
      </c>
    </row>
    <row r="32" spans="1:885">
      <c r="A32" s="3">
        <v>5.0999999999999996</v>
      </c>
      <c r="B32" s="17" t="s">
        <v>31</v>
      </c>
      <c r="C32" s="40">
        <v>10.034843205574912</v>
      </c>
      <c r="D32" s="40">
        <v>3.4294750473097801</v>
      </c>
      <c r="E32" s="67">
        <v>2.4004886792966964</v>
      </c>
      <c r="F32" s="67">
        <v>2.9912754893302922</v>
      </c>
      <c r="G32" s="40">
        <v>6.7149145248382816</v>
      </c>
      <c r="H32" s="67" t="s">
        <v>248</v>
      </c>
      <c r="I32" s="40" t="s">
        <v>248</v>
      </c>
      <c r="J32" s="67">
        <v>2.2976181212631785</v>
      </c>
      <c r="K32" s="40" t="s">
        <v>248</v>
      </c>
      <c r="L32" s="67">
        <v>1</v>
      </c>
      <c r="M32" s="67">
        <v>1.1556677677315728</v>
      </c>
      <c r="N32" s="67">
        <v>5.0057299999999998</v>
      </c>
      <c r="O32" s="67">
        <v>5.6553141818447763</v>
      </c>
      <c r="P32" s="67" t="s">
        <v>248</v>
      </c>
      <c r="Q32" s="67">
        <v>6.8120717369738095</v>
      </c>
      <c r="R32" s="67">
        <v>1.2567642262638574</v>
      </c>
      <c r="S32" s="67">
        <v>1.9762336904437803</v>
      </c>
      <c r="T32" s="67">
        <v>3.0203997717385485</v>
      </c>
      <c r="U32" s="67">
        <v>24.64196207627457</v>
      </c>
      <c r="V32" s="40">
        <v>4.2964812452399093</v>
      </c>
      <c r="W32" s="67">
        <v>7</v>
      </c>
      <c r="X32" s="40" t="s">
        <v>248</v>
      </c>
      <c r="Y32" s="67">
        <v>6.9806094169616699</v>
      </c>
      <c r="Z32" s="40">
        <v>4.0251572327044025</v>
      </c>
      <c r="AA32" s="67">
        <v>3.0083565459610031</v>
      </c>
      <c r="AB32" s="40">
        <v>4.0939110000000003</v>
      </c>
      <c r="AC32" s="44" t="s">
        <v>248</v>
      </c>
      <c r="AD32" s="67">
        <v>26.283190000000001</v>
      </c>
      <c r="AE32" s="67">
        <v>3.7396645884120585</v>
      </c>
      <c r="AF32" s="67">
        <v>7.0691119912906446</v>
      </c>
      <c r="AG32" s="48"/>
      <c r="AH32" s="44" t="s">
        <v>248</v>
      </c>
      <c r="AI32" s="67">
        <v>3.9416058182716371</v>
      </c>
      <c r="AJ32" s="44" t="s">
        <v>248</v>
      </c>
      <c r="AK32" s="67">
        <v>12.246449456421935</v>
      </c>
      <c r="AL32" s="67">
        <v>13.1774</v>
      </c>
      <c r="AHA32" t="s">
        <v>248</v>
      </c>
    </row>
    <row r="33" spans="1:885">
      <c r="A33" s="3">
        <v>5.2</v>
      </c>
      <c r="B33" s="17" t="s">
        <v>32</v>
      </c>
      <c r="C33" s="40">
        <v>8.0278745644599301</v>
      </c>
      <c r="D33" s="40">
        <v>6.8609313938075696</v>
      </c>
      <c r="E33" s="67">
        <v>6.0924831332461231</v>
      </c>
      <c r="F33" s="67">
        <v>28.716244697570801</v>
      </c>
      <c r="G33" s="40">
        <v>4.4991430973334117</v>
      </c>
      <c r="H33" s="67">
        <v>17.500037217563889</v>
      </c>
      <c r="I33" s="40">
        <v>42.452903869634241</v>
      </c>
      <c r="J33" s="67">
        <v>5.5446572926346906</v>
      </c>
      <c r="K33" s="40">
        <v>4.3227387987557151</v>
      </c>
      <c r="L33" s="67">
        <v>2</v>
      </c>
      <c r="M33" s="67">
        <v>9.3959431219308343</v>
      </c>
      <c r="N33" s="67">
        <v>34.898710000000001</v>
      </c>
      <c r="O33" s="67">
        <v>6.4075039069185724</v>
      </c>
      <c r="P33" s="67">
        <v>34</v>
      </c>
      <c r="Q33" s="67">
        <v>16.927139550776079</v>
      </c>
      <c r="R33" s="67">
        <v>2.0036155119790813</v>
      </c>
      <c r="S33" s="67">
        <v>5.6289072398665514</v>
      </c>
      <c r="T33" s="67">
        <v>10.00461592926972</v>
      </c>
      <c r="U33" s="67">
        <v>1.146704061160754</v>
      </c>
      <c r="V33" s="40">
        <v>9.5291012947448568</v>
      </c>
      <c r="W33" s="67">
        <v>9</v>
      </c>
      <c r="X33" s="40">
        <v>14.37108534907313</v>
      </c>
      <c r="Y33" s="67">
        <v>24.93074798583984</v>
      </c>
      <c r="Z33" s="40">
        <v>1.0062893081761006</v>
      </c>
      <c r="AA33" s="67">
        <v>2.0055710306406684</v>
      </c>
      <c r="AB33" s="40">
        <v>9.5678660000000004</v>
      </c>
      <c r="AC33" s="67">
        <v>7</v>
      </c>
      <c r="AD33" s="67">
        <v>7.8336300000000003</v>
      </c>
      <c r="AE33" s="67">
        <v>26.129939898600682</v>
      </c>
      <c r="AF33" s="67">
        <v>11.1498421589624</v>
      </c>
      <c r="AG33" s="48"/>
      <c r="AH33" s="67">
        <v>4.4847306378005669</v>
      </c>
      <c r="AI33" s="67">
        <v>5.7608085036277776</v>
      </c>
      <c r="AJ33" s="67">
        <v>15</v>
      </c>
      <c r="AK33" s="67" t="s">
        <v>248</v>
      </c>
      <c r="AL33" s="67" t="s">
        <v>248</v>
      </c>
      <c r="AHA33">
        <v>4.4847306378005669</v>
      </c>
    </row>
    <row r="34" spans="1:885">
      <c r="A34" s="5" t="s">
        <v>2</v>
      </c>
      <c r="B34" s="18" t="s">
        <v>33</v>
      </c>
      <c r="C34" s="45">
        <v>1440</v>
      </c>
      <c r="D34" s="45">
        <v>1439.7814578600774</v>
      </c>
      <c r="E34" s="46">
        <v>1440</v>
      </c>
      <c r="F34" s="46">
        <v>1440</v>
      </c>
      <c r="G34" s="45">
        <v>1440</v>
      </c>
      <c r="H34" s="46">
        <v>1440</v>
      </c>
      <c r="I34" s="45">
        <v>1440</v>
      </c>
      <c r="J34" s="46">
        <v>1440</v>
      </c>
      <c r="K34" s="45">
        <v>1440</v>
      </c>
      <c r="L34" s="46">
        <v>1440</v>
      </c>
      <c r="M34" s="46">
        <v>1440</v>
      </c>
      <c r="N34" s="46">
        <v>1440</v>
      </c>
      <c r="O34" s="46">
        <v>1440</v>
      </c>
      <c r="P34" s="46">
        <v>1440.1661220547167</v>
      </c>
      <c r="Q34" s="46">
        <v>1439.999999999997</v>
      </c>
      <c r="R34" s="46">
        <v>1439.9999999999998</v>
      </c>
      <c r="S34" s="46">
        <v>1440</v>
      </c>
      <c r="T34" s="46">
        <v>1440</v>
      </c>
      <c r="U34" s="45">
        <v>1440</v>
      </c>
      <c r="V34" s="45">
        <v>1440</v>
      </c>
      <c r="W34" s="47">
        <v>1440</v>
      </c>
      <c r="X34" s="45">
        <v>1440</v>
      </c>
      <c r="Y34" s="47">
        <v>1440</v>
      </c>
      <c r="Z34" s="45">
        <v>1440</v>
      </c>
      <c r="AA34" s="45">
        <v>1440</v>
      </c>
      <c r="AB34" s="45">
        <v>1439.8494631999999</v>
      </c>
      <c r="AC34" s="45">
        <v>1440</v>
      </c>
      <c r="AD34" s="45">
        <v>1440.0112803999998</v>
      </c>
      <c r="AE34" s="46">
        <v>1440</v>
      </c>
      <c r="AF34" s="46">
        <v>1440</v>
      </c>
      <c r="AG34" s="48"/>
      <c r="AH34" s="46">
        <v>1440</v>
      </c>
      <c r="AI34" s="46">
        <v>1440</v>
      </c>
      <c r="AJ34" s="45">
        <v>1440</v>
      </c>
      <c r="AK34" s="46">
        <v>1440</v>
      </c>
      <c r="AL34" s="46">
        <v>1439.8463010999999</v>
      </c>
      <c r="AHA34">
        <v>1440</v>
      </c>
    </row>
    <row r="35" spans="1:885">
      <c r="E35" s="25"/>
      <c r="F35" s="25"/>
      <c r="H35" s="25"/>
      <c r="J35" s="25"/>
      <c r="L35" s="25"/>
      <c r="M35" s="25"/>
      <c r="N35" s="25"/>
      <c r="O35" s="25"/>
      <c r="P35" s="25"/>
      <c r="Q35" s="25"/>
      <c r="R35" s="25"/>
      <c r="S35" s="25"/>
      <c r="T35" s="25"/>
      <c r="W35" s="25"/>
      <c r="Y35" s="25"/>
      <c r="AE35" s="24"/>
      <c r="AF35" s="25"/>
      <c r="AK35" s="24"/>
      <c r="AL35" s="25"/>
    </row>
    <row r="36" spans="1:885" ht="371.25">
      <c r="C36" s="49" t="s">
        <v>237</v>
      </c>
      <c r="E36" s="49" t="s">
        <v>486</v>
      </c>
      <c r="F36" s="25"/>
      <c r="H36" s="49" t="s">
        <v>720</v>
      </c>
      <c r="I36" s="49" t="s">
        <v>720</v>
      </c>
      <c r="J36" s="25"/>
      <c r="K36" s="49" t="s">
        <v>720</v>
      </c>
      <c r="L36" s="49" t="s">
        <v>486</v>
      </c>
      <c r="M36" s="49" t="s">
        <v>486</v>
      </c>
      <c r="N36" s="25"/>
      <c r="O36" s="25"/>
      <c r="P36" s="37" t="s">
        <v>622</v>
      </c>
      <c r="Q36" s="25"/>
      <c r="R36" s="25"/>
      <c r="S36" s="49" t="s">
        <v>488</v>
      </c>
      <c r="T36" s="49" t="s">
        <v>486</v>
      </c>
      <c r="U36" s="49" t="s">
        <v>555</v>
      </c>
      <c r="W36" s="37"/>
      <c r="X36" s="49" t="s">
        <v>720</v>
      </c>
      <c r="Y36" s="49" t="s">
        <v>486</v>
      </c>
      <c r="AA36" s="37"/>
      <c r="AC36" s="49"/>
      <c r="AD36" s="37"/>
      <c r="AE36" s="25"/>
      <c r="AF36" s="25"/>
      <c r="AH36" s="49" t="s">
        <v>720</v>
      </c>
      <c r="AI36" s="49"/>
      <c r="AJ36" s="49" t="s">
        <v>344</v>
      </c>
      <c r="AK36" s="25"/>
      <c r="AL36" s="25"/>
      <c r="AM36" s="91"/>
      <c r="AN36" s="92"/>
      <c r="AO36" s="93"/>
    </row>
  </sheetData>
  <mergeCells count="2">
    <mergeCell ref="P7:P8"/>
    <mergeCell ref="P16:P17"/>
  </mergeCells>
  <pageMargins left="0.70866141732282995" right="0.70866141732282995" top="0.74803149606299002" bottom="0.74803149606299002" header="0.31496062992126" footer="0.31496062992126"/>
  <pageSetup paperSize="9" scale="35" orientation="landscape" r:id="rId1"/>
  <headerFooter>
    <oddFooter>&amp;C_x000D_&amp;1#&amp;"Aptos"&amp;10&amp;K0000FF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A36"/>
  <sheetViews>
    <sheetView topLeftCell="G1" zoomScaleNormal="100" workbookViewId="0">
      <selection activeCell="U12" sqref="U12"/>
    </sheetView>
  </sheetViews>
  <sheetFormatPr defaultRowHeight="12.75"/>
  <cols>
    <col min="1" max="1" width="4.7109375" customWidth="1"/>
    <col min="2" max="2" width="48.7109375" customWidth="1"/>
    <col min="3" max="32" width="12.140625" customWidth="1"/>
    <col min="33" max="33" width="9.7109375" customWidth="1"/>
    <col min="34" max="38" width="12.140625" customWidth="1"/>
  </cols>
  <sheetData>
    <row r="1" spans="1:885">
      <c r="A1" s="1"/>
      <c r="B1" s="50" t="s">
        <v>230</v>
      </c>
      <c r="C1" s="177" t="s">
        <v>236</v>
      </c>
      <c r="D1" s="26" t="s">
        <v>34</v>
      </c>
      <c r="E1" s="27" t="s">
        <v>227</v>
      </c>
      <c r="F1" s="27" t="s">
        <v>39</v>
      </c>
      <c r="G1" s="26" t="s">
        <v>238</v>
      </c>
      <c r="H1" s="27" t="s">
        <v>527</v>
      </c>
      <c r="I1" s="26" t="s">
        <v>721</v>
      </c>
      <c r="J1" s="27" t="s">
        <v>42</v>
      </c>
      <c r="K1" s="26" t="s">
        <v>722</v>
      </c>
      <c r="L1" s="27" t="s">
        <v>228</v>
      </c>
      <c r="M1" s="27" t="s">
        <v>249</v>
      </c>
      <c r="N1" s="26" t="s">
        <v>240</v>
      </c>
      <c r="O1" s="26" t="s">
        <v>47</v>
      </c>
      <c r="P1" s="27" t="s">
        <v>45</v>
      </c>
      <c r="Q1" s="27" t="s">
        <v>242</v>
      </c>
      <c r="R1" s="27" t="s">
        <v>52</v>
      </c>
      <c r="S1" s="27" t="s">
        <v>487</v>
      </c>
      <c r="T1" s="27" t="s">
        <v>485</v>
      </c>
      <c r="U1" s="26" t="s">
        <v>554</v>
      </c>
      <c r="V1" s="26" t="s">
        <v>243</v>
      </c>
      <c r="W1" s="27" t="s">
        <v>244</v>
      </c>
      <c r="X1" s="26" t="s">
        <v>723</v>
      </c>
      <c r="Y1" s="27" t="s">
        <v>229</v>
      </c>
      <c r="Z1" s="26" t="s">
        <v>245</v>
      </c>
      <c r="AA1" s="26" t="s">
        <v>246</v>
      </c>
      <c r="AB1" s="26" t="s">
        <v>53</v>
      </c>
      <c r="AC1" s="26" t="s">
        <v>417</v>
      </c>
      <c r="AD1" s="26" t="s">
        <v>603</v>
      </c>
      <c r="AE1" s="27" t="s">
        <v>499</v>
      </c>
      <c r="AF1" s="27" t="s">
        <v>500</v>
      </c>
      <c r="AG1" s="99"/>
      <c r="AH1" s="26" t="s">
        <v>724</v>
      </c>
      <c r="AI1" s="26" t="s">
        <v>625</v>
      </c>
      <c r="AJ1" s="26" t="s">
        <v>345</v>
      </c>
      <c r="AK1" s="27" t="s">
        <v>342</v>
      </c>
      <c r="AL1" s="27" t="s">
        <v>343</v>
      </c>
    </row>
    <row r="2" spans="1:885">
      <c r="A2" s="1"/>
      <c r="B2" s="50" t="s">
        <v>231</v>
      </c>
      <c r="C2" s="178">
        <v>2006</v>
      </c>
      <c r="D2" s="27" t="s">
        <v>562</v>
      </c>
      <c r="E2" s="27">
        <v>2013</v>
      </c>
      <c r="F2" s="27" t="s">
        <v>627</v>
      </c>
      <c r="G2" s="27">
        <v>2001</v>
      </c>
      <c r="H2" s="27" t="s">
        <v>718</v>
      </c>
      <c r="I2" s="27" t="s">
        <v>719</v>
      </c>
      <c r="J2" s="27" t="s">
        <v>41</v>
      </c>
      <c r="K2" s="27" t="s">
        <v>627</v>
      </c>
      <c r="L2" s="27" t="s">
        <v>730</v>
      </c>
      <c r="M2" s="27">
        <v>2010</v>
      </c>
      <c r="N2" s="27">
        <v>2005</v>
      </c>
      <c r="O2" s="27" t="s">
        <v>48</v>
      </c>
      <c r="P2" s="27">
        <v>2021</v>
      </c>
      <c r="Q2" s="27">
        <v>2014</v>
      </c>
      <c r="R2" s="27">
        <v>2003</v>
      </c>
      <c r="S2" s="27">
        <v>2003</v>
      </c>
      <c r="T2" s="27">
        <v>2013</v>
      </c>
      <c r="U2" s="27" t="s">
        <v>629</v>
      </c>
      <c r="V2" s="27">
        <v>2016</v>
      </c>
      <c r="W2" s="27" t="s">
        <v>41</v>
      </c>
      <c r="X2" s="27" t="s">
        <v>627</v>
      </c>
      <c r="Y2" s="27" t="s">
        <v>628</v>
      </c>
      <c r="Z2" s="27">
        <v>1999</v>
      </c>
      <c r="AA2" s="27" t="s">
        <v>247</v>
      </c>
      <c r="AB2" s="27" t="s">
        <v>41</v>
      </c>
      <c r="AC2" s="27">
        <v>2010</v>
      </c>
      <c r="AD2" s="27" t="s">
        <v>54</v>
      </c>
      <c r="AE2" s="27" t="s">
        <v>55</v>
      </c>
      <c r="AF2" s="27" t="s">
        <v>629</v>
      </c>
      <c r="AG2" s="99"/>
      <c r="AH2" s="27" t="s">
        <v>717</v>
      </c>
      <c r="AI2" s="27" t="s">
        <v>626</v>
      </c>
      <c r="AJ2" s="27">
        <v>2008</v>
      </c>
      <c r="AK2" s="27" t="s">
        <v>403</v>
      </c>
      <c r="AL2" s="27">
        <v>2010</v>
      </c>
      <c r="AHA2" t="s">
        <v>717</v>
      </c>
    </row>
    <row r="3" spans="1:885">
      <c r="A3" s="1"/>
      <c r="B3" s="50" t="s">
        <v>232</v>
      </c>
      <c r="C3" s="178" t="s">
        <v>226</v>
      </c>
      <c r="D3" s="27" t="s">
        <v>36</v>
      </c>
      <c r="E3" s="27" t="s">
        <v>36</v>
      </c>
      <c r="F3" s="27" t="s">
        <v>36</v>
      </c>
      <c r="G3" s="27" t="s">
        <v>36</v>
      </c>
      <c r="H3" s="27" t="s">
        <v>36</v>
      </c>
      <c r="I3" s="27" t="s">
        <v>36</v>
      </c>
      <c r="J3" s="27" t="s">
        <v>36</v>
      </c>
      <c r="K3" s="27" t="s">
        <v>36</v>
      </c>
      <c r="L3" s="27" t="s">
        <v>36</v>
      </c>
      <c r="M3" s="27" t="s">
        <v>36</v>
      </c>
      <c r="N3" s="27" t="s">
        <v>36</v>
      </c>
      <c r="O3" s="27" t="s">
        <v>36</v>
      </c>
      <c r="P3" s="27" t="s">
        <v>36</v>
      </c>
      <c r="Q3" s="27" t="s">
        <v>36</v>
      </c>
      <c r="R3" s="27" t="s">
        <v>36</v>
      </c>
      <c r="S3" s="27" t="s">
        <v>418</v>
      </c>
      <c r="T3" s="27" t="s">
        <v>36</v>
      </c>
      <c r="U3" s="27" t="s">
        <v>36</v>
      </c>
      <c r="V3" s="27" t="s">
        <v>36</v>
      </c>
      <c r="W3" s="27" t="s">
        <v>36</v>
      </c>
      <c r="X3" s="27" t="s">
        <v>36</v>
      </c>
      <c r="Y3" s="27" t="s">
        <v>36</v>
      </c>
      <c r="Z3" s="27" t="s">
        <v>36</v>
      </c>
      <c r="AA3" s="27" t="s">
        <v>36</v>
      </c>
      <c r="AB3" s="27" t="s">
        <v>36</v>
      </c>
      <c r="AC3" s="27" t="s">
        <v>36</v>
      </c>
      <c r="AD3" s="27" t="s">
        <v>36</v>
      </c>
      <c r="AE3" s="27" t="s">
        <v>36</v>
      </c>
      <c r="AF3" s="27" t="s">
        <v>36</v>
      </c>
      <c r="AG3" s="99"/>
      <c r="AH3" s="27" t="s">
        <v>36</v>
      </c>
      <c r="AI3" s="27" t="s">
        <v>36</v>
      </c>
      <c r="AJ3" s="27" t="s">
        <v>241</v>
      </c>
      <c r="AK3" s="27" t="s">
        <v>36</v>
      </c>
      <c r="AL3" s="27" t="s">
        <v>36</v>
      </c>
      <c r="AO3" s="89"/>
    </row>
    <row r="4" spans="1:885">
      <c r="A4" s="12">
        <v>1</v>
      </c>
      <c r="B4" s="14" t="s">
        <v>3</v>
      </c>
      <c r="C4" s="51">
        <v>172</v>
      </c>
      <c r="D4" s="51">
        <v>219.07872</v>
      </c>
      <c r="E4" s="52">
        <v>199.23249736273337</v>
      </c>
      <c r="F4" s="52">
        <v>302.84290080070491</v>
      </c>
      <c r="G4" s="51">
        <v>194.58598564497333</v>
      </c>
      <c r="H4" s="52">
        <v>277.97776366001932</v>
      </c>
      <c r="I4" s="51">
        <v>222.13170719220579</v>
      </c>
      <c r="J4" s="52">
        <v>175.3629890807955</v>
      </c>
      <c r="K4" s="51">
        <v>209.88192076459561</v>
      </c>
      <c r="L4" s="52">
        <v>183</v>
      </c>
      <c r="M4" s="52">
        <v>202.50625471415381</v>
      </c>
      <c r="N4" s="52">
        <v>194.93270000000001</v>
      </c>
      <c r="O4" s="52">
        <v>133.11971288918906</v>
      </c>
      <c r="P4" s="52">
        <v>292</v>
      </c>
      <c r="Q4" s="52">
        <v>269.38647176128524</v>
      </c>
      <c r="R4" s="52">
        <v>288.46830888374137</v>
      </c>
      <c r="S4" s="52">
        <v>279.25739388292271</v>
      </c>
      <c r="T4" s="52">
        <v>238.86638993384352</v>
      </c>
      <c r="U4" s="51">
        <v>259.74656015132302</v>
      </c>
      <c r="V4" s="51">
        <v>201.43256945233304</v>
      </c>
      <c r="W4" s="52">
        <v>205</v>
      </c>
      <c r="X4" s="51">
        <v>247.04268462286561</v>
      </c>
      <c r="Y4" s="52">
        <v>171.7614440917969</v>
      </c>
      <c r="Z4" s="53">
        <v>231.28491620111734</v>
      </c>
      <c r="AA4" s="53">
        <v>234.1626129256428</v>
      </c>
      <c r="AB4" s="38">
        <v>166.75361959999998</v>
      </c>
      <c r="AC4" s="53">
        <v>275.19110493398193</v>
      </c>
      <c r="AD4" s="52">
        <v>133.94723669999999</v>
      </c>
      <c r="AE4" s="52">
        <v>216.20476138540417</v>
      </c>
      <c r="AF4" s="52">
        <v>251.2713317871094</v>
      </c>
      <c r="AG4" s="48"/>
      <c r="AH4" s="39">
        <v>256.20358286701958</v>
      </c>
      <c r="AI4" s="39">
        <v>298.10422611236572</v>
      </c>
      <c r="AJ4" s="39">
        <v>291</v>
      </c>
      <c r="AK4" s="39">
        <v>184.70367524046912</v>
      </c>
      <c r="AL4" s="39">
        <v>195.03344999999999</v>
      </c>
      <c r="AHA4">
        <v>256.20358286701958</v>
      </c>
    </row>
    <row r="5" spans="1:885">
      <c r="A5" s="3">
        <v>1.1000000000000001</v>
      </c>
      <c r="B5" s="21" t="s">
        <v>4</v>
      </c>
      <c r="C5" s="40">
        <v>128</v>
      </c>
      <c r="D5" s="40">
        <v>163.93965570252101</v>
      </c>
      <c r="E5" s="67">
        <v>134.49019560518832</v>
      </c>
      <c r="F5" s="67">
        <v>225.03741245269771</v>
      </c>
      <c r="G5" s="40">
        <v>146.96370698440825</v>
      </c>
      <c r="H5" s="67">
        <v>217.1682980053447</v>
      </c>
      <c r="I5" s="40">
        <v>172.45962044214679</v>
      </c>
      <c r="J5" s="67">
        <v>117.99821034942636</v>
      </c>
      <c r="K5" s="40">
        <v>167.85474521494331</v>
      </c>
      <c r="L5" s="67">
        <v>122</v>
      </c>
      <c r="M5" s="67">
        <v>141.09973126809174</v>
      </c>
      <c r="N5" s="67">
        <v>140.2225</v>
      </c>
      <c r="O5" s="67">
        <v>84.048203388998473</v>
      </c>
      <c r="P5" s="67">
        <v>226</v>
      </c>
      <c r="Q5" s="67">
        <v>174.02797393721343</v>
      </c>
      <c r="R5" s="67">
        <v>241.57243867899635</v>
      </c>
      <c r="S5" s="67">
        <v>240.77652508784661</v>
      </c>
      <c r="T5" s="67">
        <v>169.72136463873392</v>
      </c>
      <c r="U5" s="40">
        <v>190.75246996629389</v>
      </c>
      <c r="V5" s="40">
        <v>145.8967280339954</v>
      </c>
      <c r="W5" s="67">
        <v>160</v>
      </c>
      <c r="X5" s="40">
        <v>190.54054084488601</v>
      </c>
      <c r="Y5" s="67">
        <v>144.79888916015631</v>
      </c>
      <c r="Z5" s="40">
        <v>178.99441340782121</v>
      </c>
      <c r="AA5" s="40">
        <v>169.1174426685198</v>
      </c>
      <c r="AB5" s="40">
        <v>120.7323</v>
      </c>
      <c r="AC5" s="40">
        <v>213.14801945795691</v>
      </c>
      <c r="AD5" s="67">
        <v>85.165880000000001</v>
      </c>
      <c r="AE5" s="67">
        <v>159.43898561229821</v>
      </c>
      <c r="AF5" s="67">
        <v>203.65362310967609</v>
      </c>
      <c r="AG5" s="48"/>
      <c r="AH5" s="67">
        <v>205.91306879825419</v>
      </c>
      <c r="AI5" s="67">
        <v>233.2203547954559</v>
      </c>
      <c r="AJ5" s="67">
        <v>228</v>
      </c>
      <c r="AK5" s="67">
        <v>148.86333586876347</v>
      </c>
      <c r="AL5" s="67">
        <v>116.2538</v>
      </c>
      <c r="AHA5">
        <v>205.91306879825419</v>
      </c>
    </row>
    <row r="6" spans="1:885">
      <c r="A6" s="3">
        <v>1.2</v>
      </c>
      <c r="B6" s="21" t="s">
        <v>5</v>
      </c>
      <c r="C6" s="40">
        <v>18</v>
      </c>
      <c r="D6" s="40">
        <v>21.051958882488901</v>
      </c>
      <c r="E6" s="67">
        <v>23.608361965868752</v>
      </c>
      <c r="F6" s="67">
        <v>25.735661530494689</v>
      </c>
      <c r="G6" s="40">
        <v>18.188859837740001</v>
      </c>
      <c r="H6" s="67">
        <v>25.750782118526271</v>
      </c>
      <c r="I6" s="40">
        <v>15.285289178135001</v>
      </c>
      <c r="J6" s="67">
        <v>19.766851733717623</v>
      </c>
      <c r="K6" s="40">
        <v>17.357429100787389</v>
      </c>
      <c r="L6" s="67">
        <v>22</v>
      </c>
      <c r="M6" s="67">
        <v>24.156995434969286</v>
      </c>
      <c r="N6" s="67">
        <v>19.604679999999998</v>
      </c>
      <c r="O6" s="67">
        <v>16.049791066362314</v>
      </c>
      <c r="P6" s="67">
        <v>32</v>
      </c>
      <c r="Q6" s="67">
        <v>41.264575634833847</v>
      </c>
      <c r="R6" s="67">
        <v>31.492358933066839</v>
      </c>
      <c r="S6" s="67">
        <v>25.743810813558053</v>
      </c>
      <c r="T6" s="67">
        <v>31.66140225710209</v>
      </c>
      <c r="U6" s="40">
        <v>28.751669635673078</v>
      </c>
      <c r="V6" s="40">
        <v>25.912634731073123</v>
      </c>
      <c r="W6" s="67">
        <v>18</v>
      </c>
      <c r="X6" s="40">
        <v>19.804015002377351</v>
      </c>
      <c r="Y6" s="67">
        <v>15.977808952331539</v>
      </c>
      <c r="Z6" s="40">
        <v>20.111731843575416</v>
      </c>
      <c r="AA6" s="40">
        <v>24.016678248783876</v>
      </c>
      <c r="AB6" s="40">
        <v>18.560189999999999</v>
      </c>
      <c r="AC6" s="40">
        <v>30.020847810979845</v>
      </c>
      <c r="AD6" s="67">
        <v>17.75179</v>
      </c>
      <c r="AE6" s="67">
        <v>29.565334408222618</v>
      </c>
      <c r="AF6" s="67">
        <v>16.004124457719289</v>
      </c>
      <c r="AG6" s="48"/>
      <c r="AH6" s="67">
        <v>30.279547789713771</v>
      </c>
      <c r="AI6" s="67">
        <v>28.725676774978641</v>
      </c>
      <c r="AJ6" s="67">
        <v>38</v>
      </c>
      <c r="AK6" s="67">
        <v>17.700704221491876</v>
      </c>
      <c r="AL6" s="67">
        <v>29.084530000000001</v>
      </c>
      <c r="AHA6">
        <v>30.279547789713771</v>
      </c>
    </row>
    <row r="7" spans="1:885">
      <c r="A7" s="3">
        <v>1.3</v>
      </c>
      <c r="B7" s="21" t="s">
        <v>6</v>
      </c>
      <c r="C7" s="40">
        <v>15</v>
      </c>
      <c r="D7" s="40">
        <v>16.8079336863339</v>
      </c>
      <c r="E7" s="67">
        <v>24.917945616713631</v>
      </c>
      <c r="F7" s="67">
        <v>19.152120208740229</v>
      </c>
      <c r="G7" s="40">
        <v>19.334951832341734</v>
      </c>
      <c r="H7" s="67">
        <v>25.07375994796973</v>
      </c>
      <c r="I7" s="40">
        <v>18.229722540945829</v>
      </c>
      <c r="J7" s="67">
        <v>23.68667207751853</v>
      </c>
      <c r="K7" s="40">
        <v>15.39591717513002</v>
      </c>
      <c r="L7" s="67">
        <v>22</v>
      </c>
      <c r="M7" s="67">
        <v>24.664661280518452</v>
      </c>
      <c r="N7" s="67">
        <v>35.105519999999999</v>
      </c>
      <c r="O7" s="67">
        <v>12.358494510386571</v>
      </c>
      <c r="P7" s="230">
        <v>34</v>
      </c>
      <c r="Q7" s="67">
        <v>35.312727236424095</v>
      </c>
      <c r="R7" s="67">
        <v>10.832922260887619</v>
      </c>
      <c r="S7" s="67">
        <v>8.6736633830236194</v>
      </c>
      <c r="T7" s="67">
        <v>25.75022700739396</v>
      </c>
      <c r="U7" s="40">
        <v>29.725675072478051</v>
      </c>
      <c r="V7" s="40">
        <v>12.417826282186624</v>
      </c>
      <c r="W7" s="67">
        <v>16</v>
      </c>
      <c r="X7" s="40">
        <v>26.514471111658679</v>
      </c>
      <c r="Y7" s="67">
        <v>6.9902915954589844</v>
      </c>
      <c r="Z7" s="40">
        <v>23.128491620111738</v>
      </c>
      <c r="AA7" s="40">
        <v>22.015288394718553</v>
      </c>
      <c r="AB7" s="40">
        <v>17.22439</v>
      </c>
      <c r="AC7" s="40">
        <v>33.022932592077829</v>
      </c>
      <c r="AD7" s="67">
        <v>16.396049999999999</v>
      </c>
      <c r="AE7" s="67">
        <v>12.319639198480525</v>
      </c>
      <c r="AF7" s="67">
        <v>17.073769602297869</v>
      </c>
      <c r="AG7" s="48"/>
      <c r="AH7" s="67">
        <v>12.67610333070273</v>
      </c>
      <c r="AI7" s="67">
        <v>20.590083003044128</v>
      </c>
      <c r="AJ7" s="67">
        <v>25</v>
      </c>
      <c r="AK7" s="67">
        <v>9.6314463561689294</v>
      </c>
      <c r="AL7" s="67">
        <v>22.165849999999999</v>
      </c>
      <c r="AHA7">
        <v>12.67610333070273</v>
      </c>
    </row>
    <row r="8" spans="1:885">
      <c r="A8" s="3">
        <v>1.4</v>
      </c>
      <c r="B8" s="17" t="s">
        <v>7</v>
      </c>
      <c r="C8" s="40">
        <v>11</v>
      </c>
      <c r="D8" s="40">
        <v>11.7812857867311</v>
      </c>
      <c r="E8" s="67">
        <v>16.215994174962646</v>
      </c>
      <c r="F8" s="67">
        <v>17.35660893917084</v>
      </c>
      <c r="G8" s="40">
        <v>10.098466990483393</v>
      </c>
      <c r="H8" s="67">
        <v>9.9849121515907768</v>
      </c>
      <c r="I8" s="40">
        <v>16.157079089424769</v>
      </c>
      <c r="J8" s="67">
        <v>12.420541089384958</v>
      </c>
      <c r="K8" s="40">
        <v>9.2738287961136621</v>
      </c>
      <c r="L8" s="67">
        <v>16</v>
      </c>
      <c r="M8" s="67">
        <v>12.584866730574312</v>
      </c>
      <c r="N8" s="67" t="s">
        <v>248</v>
      </c>
      <c r="O8" s="67">
        <v>16.472275716390818</v>
      </c>
      <c r="P8" s="230"/>
      <c r="Q8" s="67">
        <v>18.78119495281387</v>
      </c>
      <c r="R8" s="67">
        <v>4.5705890107905036</v>
      </c>
      <c r="S8" s="67">
        <v>4.063394598494436</v>
      </c>
      <c r="T8" s="67">
        <v>11.733396030613569</v>
      </c>
      <c r="U8" s="40">
        <v>10.18815484703631</v>
      </c>
      <c r="V8" s="40">
        <v>12.398042827278376</v>
      </c>
      <c r="W8" s="67">
        <v>12</v>
      </c>
      <c r="X8" s="40">
        <v>10.18365205748159</v>
      </c>
      <c r="Y8" s="67">
        <v>2.99583911895752</v>
      </c>
      <c r="Z8" s="40">
        <v>9.050279329608939</v>
      </c>
      <c r="AA8" s="40">
        <v>19.013203613620568</v>
      </c>
      <c r="AB8" s="40">
        <v>8.6191270000000006</v>
      </c>
      <c r="AC8" s="67" t="s">
        <v>248</v>
      </c>
      <c r="AD8" s="67">
        <v>14.342000000000001</v>
      </c>
      <c r="AE8" s="67">
        <v>12.532156182627816</v>
      </c>
      <c r="AF8" s="67">
        <v>13.98097555350075</v>
      </c>
      <c r="AG8" s="48"/>
      <c r="AH8" s="67">
        <v>7.3348589878662551</v>
      </c>
      <c r="AI8" s="67">
        <v>13.76020181179047</v>
      </c>
      <c r="AJ8" s="67" t="s">
        <v>248</v>
      </c>
      <c r="AK8" s="67">
        <v>8.5081887940448393</v>
      </c>
      <c r="AL8" s="67">
        <v>13.070830000000001</v>
      </c>
      <c r="AHA8">
        <v>7.3348589878662551</v>
      </c>
    </row>
    <row r="9" spans="1:885">
      <c r="A9" s="3">
        <v>1.5</v>
      </c>
      <c r="B9" s="17" t="s">
        <v>8</v>
      </c>
      <c r="C9" s="40" t="s">
        <v>248</v>
      </c>
      <c r="D9" s="40">
        <v>1.7037611090007601</v>
      </c>
      <c r="E9" s="67" t="s">
        <v>248</v>
      </c>
      <c r="F9" s="67" t="s">
        <v>248</v>
      </c>
      <c r="G9" s="40" t="s">
        <v>248</v>
      </c>
      <c r="H9" s="67" t="s">
        <v>248</v>
      </c>
      <c r="I9" s="40" t="s">
        <v>248</v>
      </c>
      <c r="J9" s="67">
        <v>1.3238211161101436</v>
      </c>
      <c r="K9" s="40" t="s">
        <v>248</v>
      </c>
      <c r="L9" s="121">
        <v>1</v>
      </c>
      <c r="M9" s="48" t="s">
        <v>248</v>
      </c>
      <c r="N9" s="48" t="s">
        <v>248</v>
      </c>
      <c r="O9" s="67">
        <v>1.0583932826592659</v>
      </c>
      <c r="P9" s="48" t="s">
        <v>248</v>
      </c>
      <c r="Q9" s="48" t="s">
        <v>248</v>
      </c>
      <c r="R9" s="48" t="s">
        <v>248</v>
      </c>
      <c r="S9" s="48" t="s">
        <v>248</v>
      </c>
      <c r="T9" s="48" t="s">
        <v>248</v>
      </c>
      <c r="U9" s="40">
        <v>0.32859062984159748</v>
      </c>
      <c r="V9" s="41">
        <v>1.4607135342169195</v>
      </c>
      <c r="W9" s="48" t="s">
        <v>248</v>
      </c>
      <c r="X9" s="48" t="s">
        <v>248</v>
      </c>
      <c r="Y9" s="67" t="s">
        <v>248</v>
      </c>
      <c r="Z9" s="67" t="s">
        <v>248</v>
      </c>
      <c r="AA9" s="67" t="s">
        <v>248</v>
      </c>
      <c r="AB9" s="40">
        <v>1.2085710000000001</v>
      </c>
      <c r="AC9" s="67" t="s">
        <v>248</v>
      </c>
      <c r="AD9" s="67" t="s">
        <v>248</v>
      </c>
      <c r="AE9" s="67">
        <v>1.3946777409385587</v>
      </c>
      <c r="AF9" s="67">
        <v>0.55883899334009035</v>
      </c>
      <c r="AG9" s="48"/>
      <c r="AH9" s="67" t="s">
        <v>248</v>
      </c>
      <c r="AI9" s="67">
        <v>1.607030868530273</v>
      </c>
      <c r="AJ9" s="67" t="s">
        <v>248</v>
      </c>
      <c r="AK9" s="67" t="s">
        <v>248</v>
      </c>
      <c r="AL9" s="67" t="s">
        <v>248</v>
      </c>
      <c r="AHA9" t="s">
        <v>248</v>
      </c>
    </row>
    <row r="10" spans="1:885">
      <c r="A10" s="3">
        <v>1.6</v>
      </c>
      <c r="B10" s="17" t="s">
        <v>9</v>
      </c>
      <c r="C10" s="40" t="s">
        <v>248</v>
      </c>
      <c r="D10" s="40">
        <v>3.7941270481393299</v>
      </c>
      <c r="E10" s="67" t="s">
        <v>248</v>
      </c>
      <c r="F10" s="67">
        <v>14.96259391307831</v>
      </c>
      <c r="G10" s="40" t="s">
        <v>248</v>
      </c>
      <c r="H10" s="67" t="s">
        <v>248</v>
      </c>
      <c r="I10" s="40" t="s">
        <v>248</v>
      </c>
      <c r="J10" s="67">
        <v>0.16689271463788183</v>
      </c>
      <c r="K10" s="40" t="s">
        <v>248</v>
      </c>
      <c r="L10" s="121" t="s">
        <v>248</v>
      </c>
      <c r="M10" s="48" t="s">
        <v>248</v>
      </c>
      <c r="N10" s="48" t="s">
        <v>248</v>
      </c>
      <c r="O10" s="67">
        <v>3.1325549243916102</v>
      </c>
      <c r="P10" s="48" t="s">
        <v>248</v>
      </c>
      <c r="Q10" s="48" t="s">
        <v>248</v>
      </c>
      <c r="R10" s="48" t="s">
        <v>248</v>
      </c>
      <c r="S10" s="48" t="s">
        <v>248</v>
      </c>
      <c r="T10" s="48" t="s">
        <v>248</v>
      </c>
      <c r="U10" s="48">
        <v>0</v>
      </c>
      <c r="V10" s="41">
        <v>3.3466240435825991</v>
      </c>
      <c r="W10" s="48" t="s">
        <v>248</v>
      </c>
      <c r="X10" s="40" t="s">
        <v>248</v>
      </c>
      <c r="Y10" s="67">
        <v>0.99861305952072144</v>
      </c>
      <c r="Z10" s="67" t="s">
        <v>248</v>
      </c>
      <c r="AA10" s="67" t="s">
        <v>248</v>
      </c>
      <c r="AB10" s="40">
        <v>0</v>
      </c>
      <c r="AC10" s="67" t="s">
        <v>248</v>
      </c>
      <c r="AD10" s="67">
        <v>0</v>
      </c>
      <c r="AE10" s="67">
        <v>0.9539682428364632</v>
      </c>
      <c r="AF10" s="67">
        <v>0</v>
      </c>
      <c r="AG10" s="48"/>
      <c r="AH10" s="67" t="s">
        <v>248</v>
      </c>
      <c r="AI10" s="67">
        <v>0.80351543426513672</v>
      </c>
      <c r="AJ10" s="67" t="s">
        <v>248</v>
      </c>
      <c r="AK10" s="67" t="s">
        <v>248</v>
      </c>
      <c r="AL10" s="67">
        <v>14.45844</v>
      </c>
      <c r="AHA10" t="s">
        <v>248</v>
      </c>
    </row>
    <row r="11" spans="1:885">
      <c r="A11" s="4">
        <v>2</v>
      </c>
      <c r="B11" s="20" t="s">
        <v>10</v>
      </c>
      <c r="C11" s="42">
        <v>311</v>
      </c>
      <c r="D11" s="42">
        <v>237.79821000000001</v>
      </c>
      <c r="E11" s="43">
        <v>237.32297201649885</v>
      </c>
      <c r="F11" s="43">
        <v>247.1820514440536</v>
      </c>
      <c r="G11" s="42">
        <v>242.80872090772155</v>
      </c>
      <c r="H11" s="43">
        <v>209.36915508837049</v>
      </c>
      <c r="I11" s="42">
        <v>208.74864991685541</v>
      </c>
      <c r="J11" s="43">
        <v>224.03084764937225</v>
      </c>
      <c r="K11" s="42">
        <v>232.62135685532849</v>
      </c>
      <c r="L11" s="43">
        <v>260</v>
      </c>
      <c r="M11" s="43">
        <v>293.76732468358944</v>
      </c>
      <c r="N11" s="43">
        <v>292.50830299999996</v>
      </c>
      <c r="O11" s="43">
        <v>306.33594118203092</v>
      </c>
      <c r="P11" s="43">
        <v>208</v>
      </c>
      <c r="Q11" s="43">
        <v>215.00893666260768</v>
      </c>
      <c r="R11" s="43">
        <v>253.25411262419991</v>
      </c>
      <c r="S11" s="43">
        <v>291.95165906622367</v>
      </c>
      <c r="T11" s="43">
        <v>239.61742768193025</v>
      </c>
      <c r="U11" s="42">
        <v>348.5166558056178</v>
      </c>
      <c r="V11" s="42">
        <v>224.94610999729392</v>
      </c>
      <c r="W11" s="43">
        <v>264</v>
      </c>
      <c r="X11" s="42">
        <v>212.05955254068249</v>
      </c>
      <c r="Y11" s="43">
        <v>292.5936279296875</v>
      </c>
      <c r="Z11" s="42">
        <v>328.15642458100558</v>
      </c>
      <c r="AA11" s="42">
        <v>286.19874913134117</v>
      </c>
      <c r="AB11" s="42">
        <v>289.1279055</v>
      </c>
      <c r="AC11" s="42">
        <v>220.15288394718553</v>
      </c>
      <c r="AD11" s="43">
        <v>305.04739499999999</v>
      </c>
      <c r="AE11" s="43">
        <v>248.63229019063292</v>
      </c>
      <c r="AF11" s="43">
        <v>234.69673156738281</v>
      </c>
      <c r="AG11" s="48"/>
      <c r="AH11" s="43">
        <v>256.89140755821433</v>
      </c>
      <c r="AI11" s="43">
        <v>257.7275755405426</v>
      </c>
      <c r="AJ11" s="43">
        <v>234</v>
      </c>
      <c r="AK11" s="43">
        <v>351.93530639285547</v>
      </c>
      <c r="AL11" s="43">
        <v>249.5884149</v>
      </c>
      <c r="AHA11">
        <v>256.89140755821433</v>
      </c>
    </row>
    <row r="12" spans="1:885">
      <c r="A12" s="3">
        <v>2.1</v>
      </c>
      <c r="B12" s="21" t="s">
        <v>11</v>
      </c>
      <c r="C12" s="40">
        <v>168</v>
      </c>
      <c r="D12" s="40">
        <v>148.025019112953</v>
      </c>
      <c r="E12" s="67">
        <v>153.11448720417189</v>
      </c>
      <c r="F12" s="67">
        <v>114.9127212524414</v>
      </c>
      <c r="G12" s="40">
        <v>145.03308450641524</v>
      </c>
      <c r="H12" s="67">
        <v>124.255575627692</v>
      </c>
      <c r="I12" s="40">
        <v>125.2333527453746</v>
      </c>
      <c r="J12" s="67">
        <v>157.46651381112545</v>
      </c>
      <c r="K12" s="40">
        <v>134.9897879129438</v>
      </c>
      <c r="L12" s="67">
        <v>165</v>
      </c>
      <c r="M12" s="67">
        <v>196.19018747577039</v>
      </c>
      <c r="N12" s="67">
        <v>133.81739999999999</v>
      </c>
      <c r="O12" s="67">
        <v>204.98650448125591</v>
      </c>
      <c r="P12" s="67">
        <v>139</v>
      </c>
      <c r="Q12" s="67">
        <v>130.25061002293492</v>
      </c>
      <c r="R12" s="67">
        <v>170.35072609535362</v>
      </c>
      <c r="S12" s="67">
        <v>207.41706358941897</v>
      </c>
      <c r="T12" s="67">
        <v>148.18656764820344</v>
      </c>
      <c r="U12" s="40">
        <v>255.72847079279251</v>
      </c>
      <c r="V12" s="40">
        <v>128.3273928648957</v>
      </c>
      <c r="W12" s="67">
        <v>142</v>
      </c>
      <c r="X12" s="40">
        <v>124.2864036979978</v>
      </c>
      <c r="Y12" s="67">
        <v>182.7461853027344</v>
      </c>
      <c r="Z12" s="40">
        <v>253.40782122905028</v>
      </c>
      <c r="AA12" s="40">
        <v>212.14732453092427</v>
      </c>
      <c r="AB12" s="40">
        <v>163.41370000000001</v>
      </c>
      <c r="AC12" s="40">
        <v>120.08339124391938</v>
      </c>
      <c r="AD12" s="67">
        <v>221.55009999999999</v>
      </c>
      <c r="AE12" s="67">
        <v>132.42945020007795</v>
      </c>
      <c r="AF12" s="67">
        <v>131.87984911474621</v>
      </c>
      <c r="AG12" s="48"/>
      <c r="AH12" s="67">
        <v>173.91322475992681</v>
      </c>
      <c r="AI12" s="67">
        <v>144.5323387384415</v>
      </c>
      <c r="AJ12" s="67">
        <v>155</v>
      </c>
      <c r="AK12" s="67">
        <v>298.2454985666771</v>
      </c>
      <c r="AL12" s="67">
        <v>183.36439999999999</v>
      </c>
      <c r="AHA12">
        <v>173.91322475992681</v>
      </c>
    </row>
    <row r="13" spans="1:885">
      <c r="A13" s="3">
        <v>2.2000000000000002</v>
      </c>
      <c r="B13" s="21" t="s">
        <v>12</v>
      </c>
      <c r="C13" s="40">
        <v>36.000000000000007</v>
      </c>
      <c r="D13" s="40">
        <v>24.7262760314518</v>
      </c>
      <c r="E13" s="67">
        <v>33.950900467250435</v>
      </c>
      <c r="F13" s="67">
        <v>23.940150260925289</v>
      </c>
      <c r="G13" s="40">
        <v>29.69169137925951</v>
      </c>
      <c r="H13" s="67">
        <v>21.806099992576261</v>
      </c>
      <c r="I13" s="40">
        <v>27.39114589235805</v>
      </c>
      <c r="J13" s="67">
        <v>25.634112248325259</v>
      </c>
      <c r="K13" s="40">
        <v>22.458252781730831</v>
      </c>
      <c r="L13" s="67">
        <v>18</v>
      </c>
      <c r="M13" s="67">
        <v>21.595929335113532</v>
      </c>
      <c r="N13" s="67">
        <v>39.327440000000003</v>
      </c>
      <c r="O13" s="67">
        <v>32.418981208975531</v>
      </c>
      <c r="P13" s="67">
        <v>32</v>
      </c>
      <c r="Q13" s="67">
        <v>19.821152851957294</v>
      </c>
      <c r="R13" s="67">
        <v>20.396676396712447</v>
      </c>
      <c r="S13" s="67">
        <v>21.490399550386719</v>
      </c>
      <c r="T13" s="67">
        <v>29.21604617978986</v>
      </c>
      <c r="U13" s="40">
        <v>16.74878464243471</v>
      </c>
      <c r="V13" s="40">
        <v>31.774909197962423</v>
      </c>
      <c r="W13" s="67">
        <v>30</v>
      </c>
      <c r="X13" s="40">
        <v>30.344510494865059</v>
      </c>
      <c r="Y13" s="67">
        <v>28.95977783203125</v>
      </c>
      <c r="Z13" s="40">
        <v>19.106145251396647</v>
      </c>
      <c r="AA13" s="40">
        <v>20.01389854065323</v>
      </c>
      <c r="AB13" s="40">
        <v>31.0425</v>
      </c>
      <c r="AC13" s="40">
        <v>27.01876302988186</v>
      </c>
      <c r="AD13" s="67">
        <v>14.789580000000001</v>
      </c>
      <c r="AE13" s="67">
        <v>35.507962690629235</v>
      </c>
      <c r="AF13" s="67">
        <v>21.854715342763839</v>
      </c>
      <c r="AG13" s="48"/>
      <c r="AH13" s="67">
        <v>20.793436379199189</v>
      </c>
      <c r="AI13" s="67">
        <v>16.472066402435299</v>
      </c>
      <c r="AJ13" s="67">
        <v>25</v>
      </c>
      <c r="AK13" s="67">
        <v>8.9252060760673242</v>
      </c>
      <c r="AL13" s="67">
        <v>10.733650000000001</v>
      </c>
      <c r="AHA13">
        <v>20.793436379199189</v>
      </c>
    </row>
    <row r="14" spans="1:885">
      <c r="A14" s="3">
        <v>2.2999999999999998</v>
      </c>
      <c r="B14" s="19" t="s">
        <v>13</v>
      </c>
      <c r="C14" s="40">
        <v>63.500000000000007</v>
      </c>
      <c r="D14" s="40">
        <v>36.9647367731773</v>
      </c>
      <c r="E14" s="67">
        <v>29</v>
      </c>
      <c r="F14" s="67">
        <v>63.441398191452031</v>
      </c>
      <c r="G14" s="40">
        <v>35.435034878393338</v>
      </c>
      <c r="H14" s="67">
        <v>33.796005141788328</v>
      </c>
      <c r="I14" s="40">
        <v>30.10214814686719</v>
      </c>
      <c r="J14" s="67">
        <v>30.000002631250201</v>
      </c>
      <c r="K14" s="40">
        <v>38.324211897408532</v>
      </c>
      <c r="L14" s="67">
        <v>27</v>
      </c>
      <c r="M14" s="67">
        <v>47</v>
      </c>
      <c r="N14" s="67">
        <v>92.890829999999994</v>
      </c>
      <c r="O14" s="67">
        <v>35.469467160980038</v>
      </c>
      <c r="P14" s="67" t="s">
        <v>248</v>
      </c>
      <c r="Q14" s="67">
        <v>44.256726761903366</v>
      </c>
      <c r="R14" s="67">
        <v>25</v>
      </c>
      <c r="S14" s="67">
        <v>30</v>
      </c>
      <c r="T14" s="67">
        <v>28</v>
      </c>
      <c r="U14" s="40">
        <v>39.794477182832232</v>
      </c>
      <c r="V14" s="40">
        <v>28.676588924143793</v>
      </c>
      <c r="W14" s="67">
        <v>44</v>
      </c>
      <c r="X14" s="40">
        <v>33.340968340502513</v>
      </c>
      <c r="Y14" s="67" t="s">
        <v>248</v>
      </c>
      <c r="Z14" s="40">
        <v>26.145251396648046</v>
      </c>
      <c r="AA14" s="40">
        <v>30.020847810979845</v>
      </c>
      <c r="AB14" s="40">
        <v>45</v>
      </c>
      <c r="AC14" s="40">
        <v>38.026407227241144</v>
      </c>
      <c r="AD14" s="67">
        <v>45.633295000000004</v>
      </c>
      <c r="AE14" s="67">
        <v>46.765517432258342</v>
      </c>
      <c r="AF14" s="67">
        <v>38.890965260124382</v>
      </c>
      <c r="AG14" s="48"/>
      <c r="AH14" s="67">
        <v>38.874311205663624</v>
      </c>
      <c r="AI14" s="67">
        <v>35.957315683364868</v>
      </c>
      <c r="AJ14" s="67">
        <v>33</v>
      </c>
      <c r="AK14" s="67">
        <v>37.082322597102525</v>
      </c>
      <c r="AL14" s="67">
        <v>30</v>
      </c>
      <c r="AHA14">
        <v>38.874311205663624</v>
      </c>
    </row>
    <row r="15" spans="1:885">
      <c r="A15" s="3" t="s">
        <v>0</v>
      </c>
      <c r="B15" s="19" t="s">
        <v>14</v>
      </c>
      <c r="C15" s="40" t="s">
        <v>248</v>
      </c>
      <c r="D15" s="40">
        <v>35.334609999999998</v>
      </c>
      <c r="E15" s="67">
        <v>28.949338717244331</v>
      </c>
      <c r="F15" s="67">
        <v>55.660849356651312</v>
      </c>
      <c r="G15" s="40" t="s">
        <v>248</v>
      </c>
      <c r="H15" s="67">
        <v>31.270405325578</v>
      </c>
      <c r="I15" s="40">
        <v>28.894487159212641</v>
      </c>
      <c r="J15" s="67">
        <v>29.133492555250072</v>
      </c>
      <c r="K15" s="40">
        <v>37.055083230761397</v>
      </c>
      <c r="L15" s="67">
        <v>25</v>
      </c>
      <c r="M15" s="67">
        <v>47.027448532314153</v>
      </c>
      <c r="N15" s="67" t="s">
        <v>248</v>
      </c>
      <c r="O15" s="67">
        <v>32.745228627540328</v>
      </c>
      <c r="P15" s="67">
        <v>32</v>
      </c>
      <c r="Q15" s="67" t="s">
        <v>248</v>
      </c>
      <c r="R15" s="67">
        <v>24.501495823319388</v>
      </c>
      <c r="S15" s="67">
        <v>29.969205368890947</v>
      </c>
      <c r="T15" s="67">
        <v>27.983006875081074</v>
      </c>
      <c r="U15" s="40">
        <v>37.585075006236437</v>
      </c>
      <c r="V15" s="40">
        <v>28.268638668256603</v>
      </c>
      <c r="W15" s="67">
        <v>44</v>
      </c>
      <c r="X15" s="40">
        <v>33.340967386211098</v>
      </c>
      <c r="Y15" s="67">
        <v>43.938976287841797</v>
      </c>
      <c r="Z15" s="40" t="s">
        <v>248</v>
      </c>
      <c r="AA15" s="40">
        <v>30</v>
      </c>
      <c r="AB15" s="40">
        <v>41.895780000000002</v>
      </c>
      <c r="AC15" s="40">
        <v>31.02154273801251</v>
      </c>
      <c r="AD15" s="67">
        <v>43.089390000000002</v>
      </c>
      <c r="AE15" s="67">
        <v>37.342112782946046</v>
      </c>
      <c r="AF15" s="67">
        <v>37.320733308244762</v>
      </c>
      <c r="AG15" s="48"/>
      <c r="AH15" s="67">
        <v>37.818187601651523</v>
      </c>
      <c r="AI15" s="67">
        <v>35.153800249099731</v>
      </c>
      <c r="AJ15" s="67" t="s">
        <v>248</v>
      </c>
      <c r="AK15" s="67" t="s">
        <v>248</v>
      </c>
      <c r="AL15" s="67">
        <v>28.775390000000002</v>
      </c>
      <c r="AHA15">
        <v>37.818187601651523</v>
      </c>
    </row>
    <row r="16" spans="1:885">
      <c r="A16" s="3" t="s">
        <v>1</v>
      </c>
      <c r="B16" s="19" t="s">
        <v>15</v>
      </c>
      <c r="C16" s="40" t="s">
        <v>248</v>
      </c>
      <c r="D16" s="40">
        <v>1.6301237</v>
      </c>
      <c r="E16" s="67" t="s">
        <v>248</v>
      </c>
      <c r="F16" s="67">
        <v>7.7805488348007206</v>
      </c>
      <c r="G16" s="40" t="s">
        <v>248</v>
      </c>
      <c r="H16" s="67">
        <v>2.5256005309970671</v>
      </c>
      <c r="I16" s="40">
        <v>1.2076618232170939</v>
      </c>
      <c r="J16" s="67">
        <v>0.96935798502077319</v>
      </c>
      <c r="K16" s="40">
        <v>1.269129621889761</v>
      </c>
      <c r="L16" s="67">
        <v>2</v>
      </c>
      <c r="M16" s="67" t="s">
        <v>248</v>
      </c>
      <c r="N16" s="67" t="s">
        <v>248</v>
      </c>
      <c r="O16" s="67">
        <v>2.7242305236826163</v>
      </c>
      <c r="P16" s="230">
        <v>4</v>
      </c>
      <c r="Q16" s="67" t="s">
        <v>248</v>
      </c>
      <c r="R16" s="67" t="s">
        <v>248</v>
      </c>
      <c r="S16" s="67" t="s">
        <v>248</v>
      </c>
      <c r="T16" s="67" t="s">
        <v>248</v>
      </c>
      <c r="U16" s="40">
        <v>2.2094021765957939</v>
      </c>
      <c r="V16" s="40">
        <v>0.40795025588718964</v>
      </c>
      <c r="W16" s="67" t="s">
        <v>248</v>
      </c>
      <c r="X16" s="40">
        <v>0</v>
      </c>
      <c r="Y16" s="67">
        <v>2.99583911895752</v>
      </c>
      <c r="Z16" s="40" t="s">
        <v>248</v>
      </c>
      <c r="AA16" s="40" t="s">
        <v>248</v>
      </c>
      <c r="AB16" s="40">
        <v>3.494494</v>
      </c>
      <c r="AC16" s="40">
        <v>7.0048644892286314</v>
      </c>
      <c r="AD16" s="67">
        <v>2.5439050000000001</v>
      </c>
      <c r="AE16" s="67">
        <v>9.4234046493123014</v>
      </c>
      <c r="AF16" s="67">
        <v>1.5639535537243869</v>
      </c>
      <c r="AG16" s="48"/>
      <c r="AH16" s="67">
        <v>1.056123961348874</v>
      </c>
      <c r="AI16" s="67">
        <v>0.80351543426513672</v>
      </c>
      <c r="AJ16" s="67" t="s">
        <v>248</v>
      </c>
      <c r="AK16" s="67" t="s">
        <v>248</v>
      </c>
      <c r="AL16" s="67">
        <v>1.381982</v>
      </c>
      <c r="AHA16">
        <v>1.056123961348874</v>
      </c>
    </row>
    <row r="17" spans="1:885">
      <c r="A17" s="3">
        <v>2.4</v>
      </c>
      <c r="B17" s="19" t="s">
        <v>16</v>
      </c>
      <c r="C17" s="40" t="s">
        <v>248</v>
      </c>
      <c r="D17" s="40">
        <v>7.2072859999999999</v>
      </c>
      <c r="E17" s="67">
        <v>3.2194105539480353</v>
      </c>
      <c r="F17" s="67">
        <v>5.3865338087081902</v>
      </c>
      <c r="G17" s="40">
        <v>8.5649721815693898</v>
      </c>
      <c r="H17" s="67" t="s">
        <v>248</v>
      </c>
      <c r="I17" s="40" t="s">
        <v>248</v>
      </c>
      <c r="J17" s="67">
        <v>3.0886942709042264</v>
      </c>
      <c r="K17" s="40" t="s">
        <v>248</v>
      </c>
      <c r="L17" s="67">
        <v>18</v>
      </c>
      <c r="M17" s="67">
        <v>7.7090661650841987</v>
      </c>
      <c r="N17" s="67" t="s">
        <v>248</v>
      </c>
      <c r="O17" s="67">
        <v>8.3088103842936363</v>
      </c>
      <c r="P17" s="230"/>
      <c r="Q17" s="67">
        <v>1.3588468127067443</v>
      </c>
      <c r="R17" s="67">
        <v>10.179261082466173</v>
      </c>
      <c r="S17" s="67">
        <v>11.146576556313649</v>
      </c>
      <c r="T17" s="67">
        <v>2.9640355428719678</v>
      </c>
      <c r="U17" s="40">
        <v>11.04923131178626</v>
      </c>
      <c r="V17" s="40">
        <v>8.7309182499159927</v>
      </c>
      <c r="W17" s="67">
        <v>9</v>
      </c>
      <c r="X17" s="40" t="s">
        <v>248</v>
      </c>
      <c r="Y17" s="67">
        <v>9.9861307144165039</v>
      </c>
      <c r="Z17" s="40">
        <v>10.055865921787708</v>
      </c>
      <c r="AA17" s="40">
        <v>5.0034746351633075</v>
      </c>
      <c r="AB17" s="40">
        <v>7.9897919999999996</v>
      </c>
      <c r="AC17" s="40" t="s">
        <v>248</v>
      </c>
      <c r="AD17" s="67">
        <v>2.1989770000000002</v>
      </c>
      <c r="AE17" s="67">
        <v>8.118703308411197</v>
      </c>
      <c r="AF17" s="67">
        <v>5.1577503001007052</v>
      </c>
      <c r="AG17" s="48"/>
      <c r="AH17" s="67" t="s">
        <v>248</v>
      </c>
      <c r="AI17" s="67">
        <v>5.2228503227233887</v>
      </c>
      <c r="AJ17" s="67">
        <v>2</v>
      </c>
      <c r="AK17" s="67">
        <v>1.2326431314389206</v>
      </c>
      <c r="AL17" s="67">
        <v>0.92404090000000005</v>
      </c>
      <c r="AHA17" t="s">
        <v>248</v>
      </c>
    </row>
    <row r="18" spans="1:885">
      <c r="A18" s="3">
        <v>2.5</v>
      </c>
      <c r="B18" s="19" t="s">
        <v>17</v>
      </c>
      <c r="C18" s="40">
        <v>7.5</v>
      </c>
      <c r="D18" s="40">
        <v>6.3450790000000001</v>
      </c>
      <c r="E18" s="67">
        <v>2.305196161115977</v>
      </c>
      <c r="F18" s="67">
        <v>4.7880300521850581</v>
      </c>
      <c r="G18" s="40">
        <v>1.6658599957815678</v>
      </c>
      <c r="H18" s="67">
        <v>9.5475503493796054</v>
      </c>
      <c r="I18" s="40">
        <v>11.968055500507489</v>
      </c>
      <c r="J18" s="67" t="s">
        <v>248</v>
      </c>
      <c r="K18" s="40">
        <v>16.297489972123461</v>
      </c>
      <c r="L18" s="67">
        <v>18</v>
      </c>
      <c r="M18" s="67">
        <v>0.39730940507752605</v>
      </c>
      <c r="N18" s="67">
        <v>6.867953</v>
      </c>
      <c r="O18" s="67">
        <v>2.1858587056037804</v>
      </c>
      <c r="P18" s="67">
        <v>1</v>
      </c>
      <c r="Q18" s="67">
        <v>1.1107282139451513</v>
      </c>
      <c r="R18" s="67">
        <v>0</v>
      </c>
      <c r="S18" s="67">
        <v>0</v>
      </c>
      <c r="T18" s="67">
        <v>3.2306070826306912</v>
      </c>
      <c r="U18" s="40">
        <v>2.1777762223840482</v>
      </c>
      <c r="V18" s="40">
        <v>4.9861645944909174</v>
      </c>
      <c r="W18" s="67">
        <v>6</v>
      </c>
      <c r="X18" s="40">
        <v>11.741605308105139</v>
      </c>
      <c r="Y18" s="67">
        <v>0</v>
      </c>
      <c r="Z18" s="40">
        <v>2.011173184357542</v>
      </c>
      <c r="AA18" s="40">
        <v>0</v>
      </c>
      <c r="AB18" s="40">
        <v>0.80522349999999998</v>
      </c>
      <c r="AC18" s="40" t="s">
        <v>248</v>
      </c>
      <c r="AD18" s="67">
        <v>2.9564270000000001</v>
      </c>
      <c r="AE18" s="67">
        <v>3</v>
      </c>
      <c r="AF18" s="67">
        <v>7.2266629489639227</v>
      </c>
      <c r="AG18" s="48"/>
      <c r="AH18" s="67">
        <v>3.650503642094804</v>
      </c>
      <c r="AI18" s="67">
        <v>0.50219714641571045</v>
      </c>
      <c r="AJ18" s="67">
        <v>1</v>
      </c>
      <c r="AK18" s="67">
        <v>0.16641100585494642</v>
      </c>
      <c r="AL18" s="67">
        <v>1.581572</v>
      </c>
      <c r="AHA18">
        <v>3.650503642094804</v>
      </c>
    </row>
    <row r="19" spans="1:885">
      <c r="A19" s="3">
        <v>2.6</v>
      </c>
      <c r="B19" s="17" t="s">
        <v>18</v>
      </c>
      <c r="C19" s="40">
        <v>36</v>
      </c>
      <c r="D19" s="40">
        <v>12.626272638549301</v>
      </c>
      <c r="E19" s="67">
        <v>15.783638912768167</v>
      </c>
      <c r="F19" s="67">
        <v>14.36409015655518</v>
      </c>
      <c r="G19" s="40">
        <v>22.418077966302516</v>
      </c>
      <c r="H19" s="67">
        <v>19.963922547360799</v>
      </c>
      <c r="I19" s="40">
        <v>14.053942857104911</v>
      </c>
      <c r="J19" s="67">
        <v>6.9751636117799753</v>
      </c>
      <c r="K19" s="40">
        <v>20.551620022577591</v>
      </c>
      <c r="L19" s="67">
        <v>14</v>
      </c>
      <c r="M19" s="67">
        <v>20.847383770229623</v>
      </c>
      <c r="N19" s="67">
        <v>19.604679999999998</v>
      </c>
      <c r="O19" s="67">
        <v>22.864462363882282</v>
      </c>
      <c r="P19" s="67" t="s">
        <v>46</v>
      </c>
      <c r="Q19" s="67">
        <v>18.210871999160208</v>
      </c>
      <c r="R19" s="67">
        <v>27.825953226348297</v>
      </c>
      <c r="S19" s="67">
        <v>21.928414001213387</v>
      </c>
      <c r="T19" s="67">
        <v>28.037164353353223</v>
      </c>
      <c r="U19" s="40">
        <v>10.404907988277181</v>
      </c>
      <c r="V19" s="40">
        <v>21.786122915062101</v>
      </c>
      <c r="W19" s="67">
        <v>34</v>
      </c>
      <c r="X19" s="40">
        <v>12.346068754950471</v>
      </c>
      <c r="Y19" s="67">
        <v>23.96671295166016</v>
      </c>
      <c r="Z19" s="40">
        <v>17.430167597765362</v>
      </c>
      <c r="AA19" s="40">
        <v>19.013203613620568</v>
      </c>
      <c r="AB19" s="40">
        <v>24.20429</v>
      </c>
      <c r="AC19" s="40">
        <v>27.01876302988186</v>
      </c>
      <c r="AD19" s="67">
        <v>12.354990000000001</v>
      </c>
      <c r="AE19" s="67">
        <v>22.810763527989891</v>
      </c>
      <c r="AF19" s="67">
        <v>27.467989443540372</v>
      </c>
      <c r="AG19" s="48"/>
      <c r="AH19" s="67">
        <v>19.65992363547571</v>
      </c>
      <c r="AI19" s="67">
        <v>15.46767210960388</v>
      </c>
      <c r="AJ19" s="67">
        <v>18</v>
      </c>
      <c r="AK19" s="67">
        <v>6.283225015714768</v>
      </c>
      <c r="AL19" s="67">
        <v>10.22983</v>
      </c>
      <c r="AHA19">
        <v>19.65992363547571</v>
      </c>
    </row>
    <row r="20" spans="1:885">
      <c r="A20" s="3">
        <v>2.7</v>
      </c>
      <c r="B20" s="17" t="s">
        <v>19</v>
      </c>
      <c r="C20" s="40" t="s">
        <v>248</v>
      </c>
      <c r="D20" s="40">
        <v>1.9035402446315799</v>
      </c>
      <c r="E20" s="67" t="s">
        <v>248</v>
      </c>
      <c r="F20" s="67">
        <v>19.750623965263369</v>
      </c>
      <c r="G20" s="40" t="s">
        <v>248</v>
      </c>
      <c r="H20" s="67" t="s">
        <v>248</v>
      </c>
      <c r="I20" s="40" t="s">
        <v>248</v>
      </c>
      <c r="J20" s="67">
        <v>0.7635131669664672</v>
      </c>
      <c r="K20" s="40" t="s">
        <v>248</v>
      </c>
      <c r="L20" s="67" t="s">
        <v>248</v>
      </c>
      <c r="M20" s="67" t="s">
        <v>248</v>
      </c>
      <c r="N20" s="67" t="s">
        <v>248</v>
      </c>
      <c r="O20" s="67">
        <v>0.10185687703964658</v>
      </c>
      <c r="P20" s="48" t="s">
        <v>248</v>
      </c>
      <c r="Q20" s="67" t="s">
        <v>248</v>
      </c>
      <c r="R20" s="67" t="s">
        <v>248</v>
      </c>
      <c r="S20" s="67" t="s">
        <v>248</v>
      </c>
      <c r="T20" s="67" t="s">
        <v>248</v>
      </c>
      <c r="U20" s="40">
        <v>12.61300766511088</v>
      </c>
      <c r="V20" s="40">
        <v>0.66401325082297236</v>
      </c>
      <c r="W20" s="67" t="s">
        <v>248</v>
      </c>
      <c r="X20" s="40" t="s">
        <v>248</v>
      </c>
      <c r="Y20" s="67" t="s">
        <v>248</v>
      </c>
      <c r="Z20" s="40" t="s">
        <v>248</v>
      </c>
      <c r="AA20" s="40" t="s">
        <v>248</v>
      </c>
      <c r="AB20" s="40">
        <v>16.6724</v>
      </c>
      <c r="AC20" s="40">
        <v>8.005559416261292</v>
      </c>
      <c r="AD20" s="67">
        <v>5.5640260000000001</v>
      </c>
      <c r="AE20" s="67" t="s">
        <v>248</v>
      </c>
      <c r="AF20" s="67">
        <v>2.2188018429972329</v>
      </c>
      <c r="AG20" s="48"/>
      <c r="AH20" s="67" t="s">
        <v>248</v>
      </c>
      <c r="AI20" s="67">
        <v>39.372256278991699</v>
      </c>
      <c r="AJ20" s="67" t="s">
        <v>248</v>
      </c>
      <c r="AK20" s="67" t="s">
        <v>248</v>
      </c>
      <c r="AL20" s="67">
        <v>12.59755</v>
      </c>
      <c r="AHA20" t="s">
        <v>248</v>
      </c>
    </row>
    <row r="21" spans="1:885">
      <c r="A21" s="4">
        <v>3</v>
      </c>
      <c r="B21" s="20" t="s">
        <v>20</v>
      </c>
      <c r="C21" s="42">
        <v>666</v>
      </c>
      <c r="D21" s="42">
        <v>678.03941999999995</v>
      </c>
      <c r="E21" s="43">
        <v>677.39721737857042</v>
      </c>
      <c r="F21" s="43">
        <v>663.74066598415368</v>
      </c>
      <c r="G21" s="42">
        <v>673.37854405155133</v>
      </c>
      <c r="H21" s="43">
        <v>656.28367984574652</v>
      </c>
      <c r="I21" s="42">
        <v>663.37629426067724</v>
      </c>
      <c r="J21" s="43">
        <v>760.88806673622412</v>
      </c>
      <c r="K21" s="42">
        <v>667.24483040869382</v>
      </c>
      <c r="L21" s="43">
        <v>680</v>
      </c>
      <c r="M21" s="43">
        <v>679.27181516422581</v>
      </c>
      <c r="N21" s="43">
        <v>623.13238999999999</v>
      </c>
      <c r="O21" s="43">
        <v>705.327315056609</v>
      </c>
      <c r="P21" s="43">
        <v>647</v>
      </c>
      <c r="Q21" s="43">
        <v>679.87680469376858</v>
      </c>
      <c r="R21" s="43">
        <v>643.69356534168719</v>
      </c>
      <c r="S21" s="43">
        <v>644.79766665686088</v>
      </c>
      <c r="T21" s="43">
        <v>694.01245297703986</v>
      </c>
      <c r="U21" s="42">
        <v>610.93961650458471</v>
      </c>
      <c r="V21" s="42">
        <v>696.6580496667965</v>
      </c>
      <c r="W21" s="43">
        <v>656</v>
      </c>
      <c r="X21" s="42">
        <v>631.99754814757034</v>
      </c>
      <c r="Y21" s="43">
        <v>693.0374755859375</v>
      </c>
      <c r="Z21" s="42">
        <v>673.74301675977654</v>
      </c>
      <c r="AA21" s="42">
        <v>630.43780403057679</v>
      </c>
      <c r="AB21" s="42">
        <v>686.55228</v>
      </c>
      <c r="AC21" s="42">
        <v>633.43988881167479</v>
      </c>
      <c r="AD21" s="43">
        <v>684.50614000000007</v>
      </c>
      <c r="AE21" s="43">
        <v>655.42715207255912</v>
      </c>
      <c r="AF21" s="43">
        <v>675.649658203125</v>
      </c>
      <c r="AG21" s="48"/>
      <c r="AH21" s="43">
        <v>711.40454253807548</v>
      </c>
      <c r="AI21" s="43">
        <v>648.33651602268219</v>
      </c>
      <c r="AJ21" s="43">
        <v>692</v>
      </c>
      <c r="AK21" s="43">
        <v>669.86036688275237</v>
      </c>
      <c r="AL21" s="43">
        <v>694.82945999999993</v>
      </c>
      <c r="AHA21">
        <v>711.40454253807548</v>
      </c>
    </row>
    <row r="22" spans="1:885">
      <c r="A22" s="3">
        <v>3.1</v>
      </c>
      <c r="B22" s="21" t="s">
        <v>21</v>
      </c>
      <c r="C22" s="40">
        <v>514</v>
      </c>
      <c r="D22" s="40">
        <v>518.39694139683604</v>
      </c>
      <c r="E22" s="67">
        <v>519.24742497010186</v>
      </c>
      <c r="F22" s="67">
        <v>529.67582452297211</v>
      </c>
      <c r="G22" s="40">
        <v>496.52949144005203</v>
      </c>
      <c r="H22" s="67">
        <v>516.8086667910211</v>
      </c>
      <c r="I22" s="40">
        <v>517.58928175843903</v>
      </c>
      <c r="J22" s="67">
        <v>516.46614529838473</v>
      </c>
      <c r="K22" s="40">
        <v>515.77893074968597</v>
      </c>
      <c r="L22" s="67">
        <v>498</v>
      </c>
      <c r="M22" s="67">
        <v>508.45127871475154</v>
      </c>
      <c r="N22" s="67">
        <v>500.65100000000001</v>
      </c>
      <c r="O22" s="67">
        <v>512.35072045708375</v>
      </c>
      <c r="P22" s="67">
        <v>457</v>
      </c>
      <c r="Q22" s="67">
        <v>471.22712654605806</v>
      </c>
      <c r="R22" s="67">
        <v>515.45215309058938</v>
      </c>
      <c r="S22" s="67">
        <v>504.0151128732935</v>
      </c>
      <c r="T22" s="67">
        <v>520.19204825528607</v>
      </c>
      <c r="U22" s="40">
        <v>470.16301719647089</v>
      </c>
      <c r="V22" s="40">
        <v>509.35365126189106</v>
      </c>
      <c r="W22" s="67">
        <v>529</v>
      </c>
      <c r="X22" s="40">
        <v>513.10041189743788</v>
      </c>
      <c r="Y22" s="67">
        <v>520.27740478515625</v>
      </c>
      <c r="Z22" s="40">
        <v>507.82122905027938</v>
      </c>
      <c r="AA22" s="40">
        <v>504.35024322446139</v>
      </c>
      <c r="AB22" s="40">
        <v>511.10039999999998</v>
      </c>
      <c r="AC22" s="40">
        <v>483.33564975677552</v>
      </c>
      <c r="AD22" s="67">
        <v>518.01980000000003</v>
      </c>
      <c r="AE22" s="67">
        <v>511.74504166764785</v>
      </c>
      <c r="AF22" s="67">
        <v>544.55033364697965</v>
      </c>
      <c r="AG22" s="48"/>
      <c r="AH22" s="67">
        <v>527.5822427154344</v>
      </c>
      <c r="AI22" s="67">
        <v>484.51980686187738</v>
      </c>
      <c r="AJ22" s="67">
        <v>544</v>
      </c>
      <c r="AK22" s="67">
        <v>520.91666886575854</v>
      </c>
      <c r="AL22" s="67">
        <v>556.59889999999996</v>
      </c>
      <c r="AHA22">
        <v>527.5822427154344</v>
      </c>
    </row>
    <row r="23" spans="1:885">
      <c r="A23" s="3">
        <v>3.2</v>
      </c>
      <c r="B23" s="17" t="s">
        <v>22</v>
      </c>
      <c r="C23" s="40">
        <v>91</v>
      </c>
      <c r="D23" s="40">
        <v>96.887108566327697</v>
      </c>
      <c r="E23" s="67">
        <v>101.28596458876265</v>
      </c>
      <c r="F23" s="67">
        <v>76.009977078437814</v>
      </c>
      <c r="G23" s="40">
        <v>120.26470620876209</v>
      </c>
      <c r="H23" s="67">
        <v>79.541734887709481</v>
      </c>
      <c r="I23" s="40">
        <v>89.924528377146999</v>
      </c>
      <c r="J23" s="67">
        <v>131.31381151731554</v>
      </c>
      <c r="K23" s="40">
        <v>93.507241080967106</v>
      </c>
      <c r="L23" s="67">
        <v>122</v>
      </c>
      <c r="M23" s="67">
        <v>96.935229545210646</v>
      </c>
      <c r="N23" s="67">
        <v>74.676439999999999</v>
      </c>
      <c r="O23" s="67">
        <v>124.99706527923414</v>
      </c>
      <c r="P23" s="67">
        <v>93</v>
      </c>
      <c r="Q23" s="67">
        <v>114.76459054704344</v>
      </c>
      <c r="R23" s="67">
        <v>84.887406581411838</v>
      </c>
      <c r="S23" s="67">
        <v>85.085569299893564</v>
      </c>
      <c r="T23" s="67">
        <v>113.40877545725776</v>
      </c>
      <c r="U23" s="40">
        <v>76.271906726980873</v>
      </c>
      <c r="V23" s="40">
        <v>116.55606590916524</v>
      </c>
      <c r="W23" s="67">
        <v>80</v>
      </c>
      <c r="X23" s="40">
        <v>71.568977499216999</v>
      </c>
      <c r="Y23" s="67">
        <v>99.861305236816406</v>
      </c>
      <c r="Z23" s="40">
        <v>107.59776536312849</v>
      </c>
      <c r="AA23" s="40">
        <v>83.057678943710911</v>
      </c>
      <c r="AB23" s="40">
        <v>122.5522</v>
      </c>
      <c r="AC23" s="40">
        <v>85.059068797776234</v>
      </c>
      <c r="AD23" s="67">
        <v>119.53570000000001</v>
      </c>
      <c r="AE23" s="67">
        <v>78.49849104723917</v>
      </c>
      <c r="AF23" s="67">
        <v>64.651217763041657</v>
      </c>
      <c r="AG23" s="48"/>
      <c r="AH23" s="67">
        <v>131.464774522683</v>
      </c>
      <c r="AI23" s="67">
        <v>102.2473390102386</v>
      </c>
      <c r="AJ23" s="67">
        <v>96</v>
      </c>
      <c r="AK23" s="67">
        <v>79.950084074333091</v>
      </c>
      <c r="AL23" s="67">
        <v>68.920749999999998</v>
      </c>
      <c r="AHA23">
        <v>131.464774522683</v>
      </c>
    </row>
    <row r="24" spans="1:885" ht="22.5">
      <c r="A24" s="3">
        <v>3.3</v>
      </c>
      <c r="B24" s="17" t="s">
        <v>23</v>
      </c>
      <c r="C24" s="40">
        <v>61</v>
      </c>
      <c r="D24" s="40">
        <v>62.755371332494398</v>
      </c>
      <c r="E24" s="67">
        <v>56.863827819705868</v>
      </c>
      <c r="F24" s="67">
        <v>58.653368139266973</v>
      </c>
      <c r="G24" s="40">
        <v>56.584346402737218</v>
      </c>
      <c r="H24" s="67">
        <v>59.933251481644447</v>
      </c>
      <c r="I24" s="40">
        <v>55.862484125091207</v>
      </c>
      <c r="J24" s="67">
        <v>113.10810992052379</v>
      </c>
      <c r="K24" s="40">
        <v>57.958631831247203</v>
      </c>
      <c r="L24" s="67">
        <v>60</v>
      </c>
      <c r="M24" s="67">
        <v>73.88530690426353</v>
      </c>
      <c r="N24" s="67">
        <v>47.804949999999998</v>
      </c>
      <c r="O24" s="67">
        <v>67.979529320291135</v>
      </c>
      <c r="P24" s="67">
        <v>97</v>
      </c>
      <c r="Q24" s="67">
        <v>93.885087600667177</v>
      </c>
      <c r="R24" s="67">
        <v>43.354005669686018</v>
      </c>
      <c r="S24" s="67">
        <v>55.696984483673731</v>
      </c>
      <c r="T24" s="67">
        <v>60.411629264496042</v>
      </c>
      <c r="U24" s="40">
        <v>64.504692581133014</v>
      </c>
      <c r="V24" s="40">
        <v>70.748332495740172</v>
      </c>
      <c r="W24" s="67">
        <v>47</v>
      </c>
      <c r="X24" s="40">
        <v>47.328132030756016</v>
      </c>
      <c r="Y24" s="67">
        <v>72.898750305175781</v>
      </c>
      <c r="Z24" s="40">
        <v>58.324022346368714</v>
      </c>
      <c r="AA24" s="40">
        <v>43.029881862404444</v>
      </c>
      <c r="AB24" s="40">
        <v>52.899679999999996</v>
      </c>
      <c r="AC24" s="40">
        <v>65.045170257123004</v>
      </c>
      <c r="AD24" s="67">
        <v>46.95064</v>
      </c>
      <c r="AE24" s="67">
        <v>65.1836193576721</v>
      </c>
      <c r="AF24" s="67">
        <v>66.448136253387531</v>
      </c>
      <c r="AG24" s="48"/>
      <c r="AH24" s="67">
        <v>52.357517676773568</v>
      </c>
      <c r="AI24" s="67">
        <v>61.468930721282959</v>
      </c>
      <c r="AJ24" s="67">
        <v>51.999999999999993</v>
      </c>
      <c r="AK24" s="67">
        <v>68.993613942660716</v>
      </c>
      <c r="AL24" s="67">
        <v>69.309809999999999</v>
      </c>
      <c r="AHA24">
        <v>52.357517676773568</v>
      </c>
    </row>
    <row r="25" spans="1:885">
      <c r="A25" s="4">
        <v>4</v>
      </c>
      <c r="B25" s="20" t="s">
        <v>24</v>
      </c>
      <c r="C25" s="42">
        <v>269</v>
      </c>
      <c r="D25" s="42">
        <v>291.65012000000002</v>
      </c>
      <c r="E25" s="43">
        <v>316.70665242045487</v>
      </c>
      <c r="F25" s="43">
        <v>196.90773589611061</v>
      </c>
      <c r="G25" s="42">
        <v>319.61254445197494</v>
      </c>
      <c r="H25" s="43">
        <v>277.30867752833552</v>
      </c>
      <c r="I25" s="42">
        <v>308.54055507100202</v>
      </c>
      <c r="J25" s="43">
        <v>269.74337965874224</v>
      </c>
      <c r="K25" s="42">
        <v>324.460858939834</v>
      </c>
      <c r="L25" s="43">
        <v>310</v>
      </c>
      <c r="M25" s="43">
        <v>256.84115687738944</v>
      </c>
      <c r="N25" s="43">
        <v>286.98392000000001</v>
      </c>
      <c r="O25" s="43">
        <v>280.92225367741901</v>
      </c>
      <c r="P25" s="43">
        <v>254</v>
      </c>
      <c r="Q25" s="43">
        <v>243.97131854353154</v>
      </c>
      <c r="R25" s="43">
        <v>249.248179830482</v>
      </c>
      <c r="S25" s="43">
        <v>215.29885787094165</v>
      </c>
      <c r="T25" s="43">
        <v>253.02321961343881</v>
      </c>
      <c r="U25" s="42">
        <v>194.31537318195441</v>
      </c>
      <c r="V25" s="42">
        <v>300.22304575042892</v>
      </c>
      <c r="W25" s="43">
        <v>295</v>
      </c>
      <c r="X25" s="42">
        <v>339.78902985928289</v>
      </c>
      <c r="Y25" s="43">
        <v>245.6588134765625</v>
      </c>
      <c r="Z25" s="42">
        <v>199.77653631284915</v>
      </c>
      <c r="AA25" s="42">
        <v>283.19666435024322</v>
      </c>
      <c r="AB25" s="42">
        <v>283.995586</v>
      </c>
      <c r="AC25" s="42">
        <v>306.21264767199443</v>
      </c>
      <c r="AD25" s="43">
        <v>270.44737600000002</v>
      </c>
      <c r="AE25" s="43">
        <v>284.67795888641001</v>
      </c>
      <c r="AF25" s="43">
        <v>255.0957946777344</v>
      </c>
      <c r="AG25" s="48"/>
      <c r="AH25" s="43">
        <v>210.47796889502931</v>
      </c>
      <c r="AI25" s="43">
        <v>225.08476102352139</v>
      </c>
      <c r="AJ25" s="43">
        <v>211</v>
      </c>
      <c r="AK25" s="43">
        <v>220.94849366325897</v>
      </c>
      <c r="AL25" s="43">
        <v>281.84986400000003</v>
      </c>
      <c r="AHA25">
        <v>210.47796889502931</v>
      </c>
    </row>
    <row r="26" spans="1:885">
      <c r="A26" s="3">
        <v>4.0999999999999996</v>
      </c>
      <c r="B26" s="19" t="s">
        <v>25</v>
      </c>
      <c r="C26" s="40">
        <v>16</v>
      </c>
      <c r="D26" s="40">
        <v>35.7168884530467</v>
      </c>
      <c r="E26" s="67">
        <v>16.012503220312784</v>
      </c>
      <c r="F26" s="67">
        <v>16.159601426124571</v>
      </c>
      <c r="G26" s="40">
        <v>19.935430509102254</v>
      </c>
      <c r="H26" s="67">
        <v>37.887560693298497</v>
      </c>
      <c r="I26" s="40">
        <v>32.703338384341457</v>
      </c>
      <c r="J26" s="67">
        <v>7.2194666332073858</v>
      </c>
      <c r="K26" s="40">
        <v>30.44506885874716</v>
      </c>
      <c r="L26" s="67">
        <v>22</v>
      </c>
      <c r="M26" s="67">
        <v>9.8618484178113732</v>
      </c>
      <c r="N26" s="67">
        <v>17.276789999999998</v>
      </c>
      <c r="O26" s="67">
        <v>32.730560759865092</v>
      </c>
      <c r="P26" s="67">
        <v>7</v>
      </c>
      <c r="Q26" s="67">
        <v>22.96223193495258</v>
      </c>
      <c r="R26" s="67">
        <v>20.429071499167261</v>
      </c>
      <c r="S26" s="67">
        <v>12.718760892894629</v>
      </c>
      <c r="T26" s="67">
        <v>28.077766247243488</v>
      </c>
      <c r="U26" s="40">
        <v>10.996953286247139</v>
      </c>
      <c r="V26" s="40">
        <v>20.276910797814921</v>
      </c>
      <c r="W26" s="67">
        <v>15</v>
      </c>
      <c r="X26" s="40">
        <v>41.839821779043177</v>
      </c>
      <c r="Y26" s="67">
        <v>20.97087478637695</v>
      </c>
      <c r="Z26" s="40">
        <v>6.033519553072626</v>
      </c>
      <c r="AA26" s="40">
        <v>28.019457956914525</v>
      </c>
      <c r="AB26" s="40">
        <v>36.910620000000002</v>
      </c>
      <c r="AC26" s="40">
        <v>33.022932592077829</v>
      </c>
      <c r="AD26" s="67">
        <v>5.4757540000000002</v>
      </c>
      <c r="AE26" s="67">
        <v>15.505492197926721</v>
      </c>
      <c r="AF26" s="67">
        <v>15.30532140977874</v>
      </c>
      <c r="AG26" s="48"/>
      <c r="AH26" s="67">
        <v>17.699328724779662</v>
      </c>
      <c r="AI26" s="67">
        <v>27.520403623580929</v>
      </c>
      <c r="AJ26" s="67">
        <v>22</v>
      </c>
      <c r="AK26" s="67">
        <v>1.382403540189286</v>
      </c>
      <c r="AL26" s="67">
        <v>1.6328819999999999</v>
      </c>
      <c r="AHA26">
        <v>17.699328724779662</v>
      </c>
    </row>
    <row r="27" spans="1:885">
      <c r="A27" s="3">
        <v>4.2</v>
      </c>
      <c r="B27" s="17" t="s">
        <v>26</v>
      </c>
      <c r="C27" s="40">
        <v>6</v>
      </c>
      <c r="D27" s="40">
        <v>9.9929800494140206</v>
      </c>
      <c r="E27" s="67">
        <v>13.242913006809435</v>
      </c>
      <c r="F27" s="67">
        <v>2.9925187826156621</v>
      </c>
      <c r="G27" s="40">
        <v>7.8288943923415024</v>
      </c>
      <c r="H27" s="67">
        <v>5.5524647984454134</v>
      </c>
      <c r="I27" s="40">
        <v>3.5731084733623111</v>
      </c>
      <c r="J27" s="67">
        <v>13.830911213086168</v>
      </c>
      <c r="K27" s="40">
        <v>15.15942345953704</v>
      </c>
      <c r="L27" s="67">
        <v>5</v>
      </c>
      <c r="M27" s="67">
        <v>5.8457465667229069</v>
      </c>
      <c r="N27" s="67">
        <v>33.737470000000002</v>
      </c>
      <c r="O27" s="67">
        <v>5.1456461731738905</v>
      </c>
      <c r="P27" s="67" t="s">
        <v>248</v>
      </c>
      <c r="Q27" s="67">
        <v>5.0041318882577466</v>
      </c>
      <c r="R27" s="67">
        <v>4.4726838122604198</v>
      </c>
      <c r="S27" s="67">
        <v>1.731767625451196</v>
      </c>
      <c r="T27" s="67">
        <v>12.568394084835905</v>
      </c>
      <c r="U27" s="40">
        <v>5.2739366759250972</v>
      </c>
      <c r="V27" s="40">
        <v>7.0248530484921821</v>
      </c>
      <c r="W27" s="67">
        <v>7</v>
      </c>
      <c r="X27" s="40">
        <v>12.881614230560899</v>
      </c>
      <c r="Y27" s="67">
        <v>2.99583911895752</v>
      </c>
      <c r="Z27" s="40">
        <v>9.050279329608939</v>
      </c>
      <c r="AA27" s="40">
        <v>4.002779708130646</v>
      </c>
      <c r="AB27" s="40">
        <v>8.4045459999999999</v>
      </c>
      <c r="AC27" s="40">
        <v>8.005559416261292</v>
      </c>
      <c r="AD27" s="67">
        <v>2.2064219999999999</v>
      </c>
      <c r="AE27" s="67">
        <v>7.6630509596293033</v>
      </c>
      <c r="AF27" s="67">
        <v>5.9549515144702374</v>
      </c>
      <c r="AG27" s="48"/>
      <c r="AH27" s="67">
        <v>2.1887034605322242</v>
      </c>
      <c r="AI27" s="67">
        <v>4.7206531763076782</v>
      </c>
      <c r="AJ27" s="67">
        <v>2</v>
      </c>
      <c r="AK27" s="67">
        <v>3.3635429294838408</v>
      </c>
      <c r="AL27" s="67">
        <v>4.5872419999999998</v>
      </c>
      <c r="AHA27">
        <v>2.1887034605322242</v>
      </c>
    </row>
    <row r="28" spans="1:885">
      <c r="A28" s="3">
        <v>4.3</v>
      </c>
      <c r="B28" s="21" t="s">
        <v>27</v>
      </c>
      <c r="C28" s="40">
        <f>10+36</f>
        <v>46</v>
      </c>
      <c r="D28" s="40">
        <v>31.460238769817099</v>
      </c>
      <c r="E28" s="67">
        <v>53.989413238671943</v>
      </c>
      <c r="F28" s="67">
        <v>57.4563606262207</v>
      </c>
      <c r="G28" s="40">
        <v>87.451167879874333</v>
      </c>
      <c r="H28" s="67">
        <v>38.496282608563213</v>
      </c>
      <c r="I28" s="40">
        <v>53.797016007245531</v>
      </c>
      <c r="J28" s="67">
        <v>58.05845509221033</v>
      </c>
      <c r="K28" s="40">
        <v>73.21242514270358</v>
      </c>
      <c r="L28" s="67">
        <v>55.000000000000007</v>
      </c>
      <c r="M28" s="67">
        <v>33.857902436343338</v>
      </c>
      <c r="N28" s="67">
        <v>54.817540000000001</v>
      </c>
      <c r="O28" s="67">
        <v>57.822766851625943</v>
      </c>
      <c r="P28" s="67">
        <v>12</v>
      </c>
      <c r="Q28" s="67">
        <v>46.344236117724662</v>
      </c>
      <c r="R28" s="67">
        <v>35.18567963548</v>
      </c>
      <c r="S28" s="67">
        <v>31.565779520381497</v>
      </c>
      <c r="T28" s="67">
        <v>33.902743546504084</v>
      </c>
      <c r="U28" s="40">
        <v>48.781475099777012</v>
      </c>
      <c r="V28" s="40">
        <v>77.113209488493254</v>
      </c>
      <c r="W28" s="67">
        <v>77</v>
      </c>
      <c r="X28" s="40">
        <v>80.661175458256139</v>
      </c>
      <c r="Y28" s="67">
        <v>39.944522857666023</v>
      </c>
      <c r="Z28" s="40">
        <v>35.195530726256983</v>
      </c>
      <c r="AA28" s="40">
        <v>61.042390548992351</v>
      </c>
      <c r="AB28" s="40">
        <v>48.576279999999997</v>
      </c>
      <c r="AC28" s="40">
        <v>56.038915913829051</v>
      </c>
      <c r="AD28" s="67">
        <v>72.276910000000001</v>
      </c>
      <c r="AE28" s="67">
        <v>52.682351806029516</v>
      </c>
      <c r="AF28" s="67">
        <v>44.851817446553397</v>
      </c>
      <c r="AG28" s="48"/>
      <c r="AH28" s="67">
        <v>50.760298054605073</v>
      </c>
      <c r="AI28" s="67">
        <v>37.062149405479431</v>
      </c>
      <c r="AJ28" s="67">
        <v>24</v>
      </c>
      <c r="AK28" s="67">
        <v>63.786493900199432</v>
      </c>
      <c r="AL28" s="67">
        <v>74.082300000000004</v>
      </c>
      <c r="AHA28">
        <v>50.760298054605073</v>
      </c>
    </row>
    <row r="29" spans="1:885">
      <c r="A29" s="3">
        <v>4.4000000000000004</v>
      </c>
      <c r="B29" s="21" t="s">
        <v>28</v>
      </c>
      <c r="C29" s="40">
        <v>122.99999999999999</v>
      </c>
      <c r="D29" s="40">
        <v>106.914646823616</v>
      </c>
      <c r="E29" s="67">
        <v>122.00778922476562</v>
      </c>
      <c r="F29" s="67">
        <v>78.403992104530346</v>
      </c>
      <c r="G29" s="40">
        <v>114.7537879426215</v>
      </c>
      <c r="H29" s="67">
        <v>101.5358021101121</v>
      </c>
      <c r="I29" s="40">
        <v>119.0289145773298</v>
      </c>
      <c r="J29" s="67">
        <v>103.57450908434755</v>
      </c>
      <c r="K29" s="40">
        <v>113.1150212084426</v>
      </c>
      <c r="L29" s="67">
        <v>126</v>
      </c>
      <c r="M29" s="67">
        <v>122.736300207916</v>
      </c>
      <c r="N29" s="67">
        <v>75.779719999999998</v>
      </c>
      <c r="O29" s="67">
        <v>90.276009796563685</v>
      </c>
      <c r="P29" s="67">
        <v>80</v>
      </c>
      <c r="Q29" s="67">
        <v>102.75396680009787</v>
      </c>
      <c r="R29" s="67">
        <v>108.37383838177544</v>
      </c>
      <c r="S29" s="67">
        <v>115.07417230573149</v>
      </c>
      <c r="T29" s="67">
        <v>108.23732001556621</v>
      </c>
      <c r="U29" s="40">
        <v>63.245129308569069</v>
      </c>
      <c r="V29" s="40">
        <v>100.36138110687193</v>
      </c>
      <c r="W29" s="67">
        <v>118</v>
      </c>
      <c r="X29" s="40">
        <v>97.778699824576506</v>
      </c>
      <c r="Y29" s="67">
        <v>116.8377304077148</v>
      </c>
      <c r="Z29" s="40">
        <v>103.07262569832402</v>
      </c>
      <c r="AA29" s="40">
        <v>106.07366226546213</v>
      </c>
      <c r="AB29" s="40">
        <v>118.14190000000001</v>
      </c>
      <c r="AC29" s="40">
        <v>104.0722724113968</v>
      </c>
      <c r="AD29" s="67">
        <v>121.9074</v>
      </c>
      <c r="AE29" s="67">
        <v>121.84243699019314</v>
      </c>
      <c r="AF29" s="67">
        <v>117.8450941229143</v>
      </c>
      <c r="AG29" s="48"/>
      <c r="AH29" s="67">
        <v>96.575405234835614</v>
      </c>
      <c r="AI29" s="67">
        <v>80.25110399723053</v>
      </c>
      <c r="AJ29" s="67">
        <v>122</v>
      </c>
      <c r="AK29" s="67">
        <v>54.408020280092366</v>
      </c>
      <c r="AL29" s="67">
        <v>125.4392</v>
      </c>
      <c r="AHA29">
        <v>96.575405234835614</v>
      </c>
    </row>
    <row r="30" spans="1:885">
      <c r="A30" s="3">
        <v>4.5</v>
      </c>
      <c r="B30" s="21" t="s">
        <v>29</v>
      </c>
      <c r="C30" s="40">
        <f>114-36</f>
        <v>78</v>
      </c>
      <c r="D30" s="40">
        <v>107.565361130352</v>
      </c>
      <c r="E30" s="67">
        <v>111.45403372989507</v>
      </c>
      <c r="F30" s="67">
        <v>41.895262956619263</v>
      </c>
      <c r="G30" s="40">
        <v>89.643263728035336</v>
      </c>
      <c r="H30" s="67">
        <v>93.83656088483562</v>
      </c>
      <c r="I30" s="40">
        <v>99.43817953858013</v>
      </c>
      <c r="J30" s="67">
        <v>87.060037635890794</v>
      </c>
      <c r="K30" s="40">
        <v>92.528934121421685</v>
      </c>
      <c r="L30" s="67">
        <v>102</v>
      </c>
      <c r="M30" s="67">
        <v>84.539359248595858</v>
      </c>
      <c r="N30" s="67">
        <v>105.3724</v>
      </c>
      <c r="O30" s="67">
        <v>94.947270096190408</v>
      </c>
      <c r="P30" s="67">
        <v>155</v>
      </c>
      <c r="Q30" s="67">
        <v>66.906751802498661</v>
      </c>
      <c r="R30" s="67">
        <v>80.786906501798896</v>
      </c>
      <c r="S30" s="67">
        <v>54.208377526482828</v>
      </c>
      <c r="T30" s="67">
        <v>70.236995719289126</v>
      </c>
      <c r="U30" s="40">
        <v>66.017878811436091</v>
      </c>
      <c r="V30" s="40">
        <v>95.44669130875667</v>
      </c>
      <c r="W30" s="67">
        <v>79</v>
      </c>
      <c r="X30" s="40">
        <v>106.6277095010778</v>
      </c>
      <c r="Y30" s="67">
        <v>64.90985107421875</v>
      </c>
      <c r="Z30" s="40">
        <v>46.424581005586589</v>
      </c>
      <c r="AA30" s="40">
        <v>84.05837387074358</v>
      </c>
      <c r="AB30" s="40">
        <v>71.962239999999994</v>
      </c>
      <c r="AC30" s="40">
        <v>104.0722724113968</v>
      </c>
      <c r="AD30" s="67">
        <v>68.580889999999997</v>
      </c>
      <c r="AE30" s="67">
        <v>86.984626932631329</v>
      </c>
      <c r="AF30" s="67">
        <v>71.138607228872715</v>
      </c>
      <c r="AG30" s="48"/>
      <c r="AH30" s="67">
        <v>43.254226452209679</v>
      </c>
      <c r="AI30" s="67">
        <v>75.329571962356567</v>
      </c>
      <c r="AJ30" s="67">
        <v>41</v>
      </c>
      <c r="AK30" s="67">
        <v>98.008033013294067</v>
      </c>
      <c r="AL30" s="67">
        <v>76.108239999999995</v>
      </c>
      <c r="AHA30">
        <v>43.254226452209679</v>
      </c>
    </row>
    <row r="31" spans="1:885">
      <c r="A31" s="4">
        <v>5</v>
      </c>
      <c r="B31" s="20" t="s">
        <v>30</v>
      </c>
      <c r="C31" s="42">
        <v>22</v>
      </c>
      <c r="D31" s="42">
        <v>13.433529999999999</v>
      </c>
      <c r="E31" s="43">
        <v>9.0342673822314659</v>
      </c>
      <c r="F31" s="43">
        <v>29.32668406963348</v>
      </c>
      <c r="G31" s="42">
        <v>9.6142049437790345</v>
      </c>
      <c r="H31" s="43">
        <v>19.060682287824871</v>
      </c>
      <c r="I31" s="42">
        <v>37.202773936330232</v>
      </c>
      <c r="J31" s="43">
        <v>9.9747168748657931</v>
      </c>
      <c r="K31" s="42">
        <v>5.7911359739397881</v>
      </c>
      <c r="L31" s="43">
        <v>7</v>
      </c>
      <c r="M31" s="43">
        <v>7.6134485606417019</v>
      </c>
      <c r="N31" s="43">
        <v>42.442701999999997</v>
      </c>
      <c r="O31" s="43">
        <v>14.294777194752101</v>
      </c>
      <c r="P31" s="43">
        <v>40</v>
      </c>
      <c r="Q31" s="43">
        <v>31.756468338811743</v>
      </c>
      <c r="R31" s="43">
        <v>5.3358333198896233</v>
      </c>
      <c r="S31" s="43">
        <v>8.6944225230513155</v>
      </c>
      <c r="T31" s="43">
        <v>14.512388117784408</v>
      </c>
      <c r="U31" s="42">
        <v>26.481794356520759</v>
      </c>
      <c r="V31" s="42">
        <v>16.739884275353052</v>
      </c>
      <c r="W31" s="43">
        <v>19</v>
      </c>
      <c r="X31" s="42">
        <v>9.1111621150557767</v>
      </c>
      <c r="Y31" s="43">
        <v>36.948684692382813</v>
      </c>
      <c r="Z31" s="42">
        <v>7.039106145251397</v>
      </c>
      <c r="AA31" s="42">
        <v>6.004169562195969</v>
      </c>
      <c r="AB31" s="42">
        <v>13.180323</v>
      </c>
      <c r="AC31" s="42">
        <v>5.0034746351633075</v>
      </c>
      <c r="AD31" s="43">
        <v>46.099934999999995</v>
      </c>
      <c r="AE31" s="43">
        <v>35.057837464993824</v>
      </c>
      <c r="AF31" s="43">
        <v>23.286455154418949</v>
      </c>
      <c r="AG31" s="48"/>
      <c r="AH31" s="43">
        <v>5.0225875181581614</v>
      </c>
      <c r="AI31" s="43">
        <v>10.7470189332962</v>
      </c>
      <c r="AJ31" s="43">
        <v>12</v>
      </c>
      <c r="AK31" s="43">
        <v>12.552157820664268</v>
      </c>
      <c r="AL31" s="43">
        <v>18.698800799999997</v>
      </c>
      <c r="AHA31">
        <v>5.0225875181581614</v>
      </c>
    </row>
    <row r="32" spans="1:885">
      <c r="A32" s="3">
        <v>5.0999999999999996</v>
      </c>
      <c r="B32" s="17" t="s">
        <v>31</v>
      </c>
      <c r="C32" s="40">
        <v>15</v>
      </c>
      <c r="D32" s="40">
        <v>3.6884160469623302</v>
      </c>
      <c r="E32" s="67">
        <v>2.5171336911157329</v>
      </c>
      <c r="F32" s="67">
        <v>3.5910225391387942</v>
      </c>
      <c r="G32" s="40">
        <v>5.1719129595480311</v>
      </c>
      <c r="H32" s="67" t="s">
        <v>248</v>
      </c>
      <c r="I32" s="40" t="s">
        <v>248</v>
      </c>
      <c r="J32" s="67">
        <v>2.9996872630975702</v>
      </c>
      <c r="K32" s="40" t="s">
        <v>248</v>
      </c>
      <c r="L32" s="67">
        <v>4</v>
      </c>
      <c r="M32" s="67">
        <v>2.1947590012557825</v>
      </c>
      <c r="N32" s="67">
        <v>6.6607820000000002</v>
      </c>
      <c r="O32" s="67">
        <v>8.1758564263189335</v>
      </c>
      <c r="P32" s="67" t="s">
        <v>248</v>
      </c>
      <c r="Q32" s="67">
        <v>12.201113094715149</v>
      </c>
      <c r="R32" s="67">
        <v>2.7665417496405582</v>
      </c>
      <c r="S32" s="67">
        <v>3.1078879545051654</v>
      </c>
      <c r="T32" s="67">
        <v>4.02425736152549</v>
      </c>
      <c r="U32" s="40">
        <v>25.85291061030199</v>
      </c>
      <c r="V32" s="40">
        <v>7.0648841415363934</v>
      </c>
      <c r="W32" s="67">
        <v>10</v>
      </c>
      <c r="X32" s="40" t="s">
        <v>248</v>
      </c>
      <c r="Y32" s="67">
        <v>11.98335647583008</v>
      </c>
      <c r="Z32" s="40">
        <v>6.033519553072626</v>
      </c>
      <c r="AA32" s="40">
        <v>4.002779708130646</v>
      </c>
      <c r="AB32" s="40">
        <v>4.3492350000000002</v>
      </c>
      <c r="AC32" s="40" t="s">
        <v>248</v>
      </c>
      <c r="AD32" s="67">
        <v>40.662329999999997</v>
      </c>
      <c r="AE32" s="67">
        <v>4.9716903101558998</v>
      </c>
      <c r="AF32" s="67">
        <v>9.3773534096641562</v>
      </c>
      <c r="AG32" s="48"/>
      <c r="AH32" s="44" t="s">
        <v>248</v>
      </c>
      <c r="AI32" s="67">
        <v>5.624608039855957</v>
      </c>
      <c r="AJ32" s="44" t="s">
        <v>248</v>
      </c>
      <c r="AK32" s="67">
        <v>12.552157820664268</v>
      </c>
      <c r="AL32" s="67">
        <v>18.697299999999998</v>
      </c>
      <c r="AHA32" t="s">
        <v>248</v>
      </c>
    </row>
    <row r="33" spans="1:885">
      <c r="A33" s="3">
        <v>5.2</v>
      </c>
      <c r="B33" s="17" t="s">
        <v>32</v>
      </c>
      <c r="C33" s="40">
        <v>7.0000000000000018</v>
      </c>
      <c r="D33" s="40">
        <v>9.7451163392001501</v>
      </c>
      <c r="E33" s="67">
        <v>6.5171336911157329</v>
      </c>
      <c r="F33" s="67">
        <v>26.334165287017822</v>
      </c>
      <c r="G33" s="40">
        <v>4.4422919842310016</v>
      </c>
      <c r="H33" s="67">
        <v>19.060682287824871</v>
      </c>
      <c r="I33" s="40">
        <v>37.202772981401608</v>
      </c>
      <c r="J33" s="67">
        <v>6.975029611768222</v>
      </c>
      <c r="K33" s="40">
        <v>5.7911360336424522</v>
      </c>
      <c r="L33" s="67">
        <v>3</v>
      </c>
      <c r="M33" s="67">
        <v>5.4186895593859186</v>
      </c>
      <c r="N33" s="67">
        <v>35.78192</v>
      </c>
      <c r="O33" s="67">
        <v>6.1189207684331679</v>
      </c>
      <c r="P33" s="67">
        <v>40</v>
      </c>
      <c r="Q33" s="67">
        <v>19.555355244096596</v>
      </c>
      <c r="R33" s="67">
        <v>2.5692915702490646</v>
      </c>
      <c r="S33" s="67">
        <v>5.5865345685461492</v>
      </c>
      <c r="T33" s="67">
        <v>10.488130756258919</v>
      </c>
      <c r="U33" s="40">
        <v>0.62888374621877041</v>
      </c>
      <c r="V33" s="40">
        <v>9.675000133816658</v>
      </c>
      <c r="W33" s="67">
        <v>9</v>
      </c>
      <c r="X33" s="40">
        <v>9.1111619957693506</v>
      </c>
      <c r="Y33" s="67">
        <v>24.965326309204102</v>
      </c>
      <c r="Z33" s="40">
        <v>1.005586592178771</v>
      </c>
      <c r="AA33" s="40">
        <v>2.001389854065323</v>
      </c>
      <c r="AB33" s="40">
        <v>8.8310879999999994</v>
      </c>
      <c r="AC33" s="40">
        <v>5</v>
      </c>
      <c r="AD33" s="67">
        <v>5.4376049999999996</v>
      </c>
      <c r="AE33" s="67">
        <v>30.086147154837921</v>
      </c>
      <c r="AF33" s="67">
        <v>13.909101234566871</v>
      </c>
      <c r="AG33" s="48"/>
      <c r="AH33" s="67">
        <v>5.0225872799336457</v>
      </c>
      <c r="AI33" s="67">
        <v>5.1224108934402466</v>
      </c>
      <c r="AJ33" s="67">
        <v>12</v>
      </c>
      <c r="AK33" s="67" t="s">
        <v>248</v>
      </c>
      <c r="AL33" s="67" t="s">
        <v>248</v>
      </c>
      <c r="AHA33">
        <v>5.0225872799336457</v>
      </c>
    </row>
    <row r="34" spans="1:885">
      <c r="A34" s="5" t="s">
        <v>2</v>
      </c>
      <c r="B34" s="13" t="s">
        <v>33</v>
      </c>
      <c r="C34" s="54">
        <v>1440</v>
      </c>
      <c r="D34" s="54">
        <v>1440.2147135</v>
      </c>
      <c r="E34" s="55">
        <v>1440</v>
      </c>
      <c r="F34" s="55">
        <v>1440</v>
      </c>
      <c r="G34" s="54">
        <v>1440</v>
      </c>
      <c r="H34" s="55">
        <v>1440</v>
      </c>
      <c r="I34" s="54">
        <v>1440</v>
      </c>
      <c r="J34" s="55">
        <v>1440</v>
      </c>
      <c r="K34" s="54">
        <v>1440</v>
      </c>
      <c r="L34" s="55">
        <v>1440</v>
      </c>
      <c r="M34" s="55">
        <v>1440</v>
      </c>
      <c r="N34" s="55">
        <v>1440</v>
      </c>
      <c r="O34" s="55">
        <v>1440</v>
      </c>
      <c r="P34" s="55">
        <v>1439.85168683045</v>
      </c>
      <c r="Q34" s="55">
        <v>1440</v>
      </c>
      <c r="R34" s="55">
        <v>1440.0000000000002</v>
      </c>
      <c r="S34" s="55">
        <v>1440</v>
      </c>
      <c r="T34" s="55">
        <v>1440.0318783240368</v>
      </c>
      <c r="U34" s="54">
        <v>1440</v>
      </c>
      <c r="V34" s="54">
        <v>1440</v>
      </c>
      <c r="W34" s="56">
        <v>1440</v>
      </c>
      <c r="X34" s="54">
        <v>1440</v>
      </c>
      <c r="Y34" s="56">
        <v>1440</v>
      </c>
      <c r="Z34" s="57">
        <v>1440</v>
      </c>
      <c r="AA34" s="57">
        <v>1440</v>
      </c>
      <c r="AB34" s="45">
        <v>1439.6097141</v>
      </c>
      <c r="AC34" s="57">
        <v>1440</v>
      </c>
      <c r="AD34" s="54">
        <v>1440.0480827000001</v>
      </c>
      <c r="AE34" s="55">
        <v>1440</v>
      </c>
      <c r="AF34" s="55">
        <v>1440</v>
      </c>
      <c r="AG34" s="48"/>
      <c r="AH34" s="46">
        <v>1440</v>
      </c>
      <c r="AI34" s="46">
        <v>1440</v>
      </c>
      <c r="AJ34" s="45">
        <v>1440</v>
      </c>
      <c r="AK34" s="46">
        <v>1440</v>
      </c>
      <c r="AL34" s="46">
        <v>1440</v>
      </c>
      <c r="AHA34">
        <v>1440</v>
      </c>
    </row>
    <row r="35" spans="1:885">
      <c r="E35" s="25"/>
      <c r="F35" s="25"/>
      <c r="H35" s="25"/>
      <c r="J35" s="25"/>
      <c r="L35" s="25"/>
      <c r="M35" s="23"/>
      <c r="N35" s="25"/>
      <c r="O35" s="23"/>
      <c r="P35" s="25"/>
      <c r="Q35" s="25"/>
      <c r="R35" s="25"/>
      <c r="S35" s="25"/>
      <c r="T35" s="25"/>
      <c r="V35" s="25"/>
      <c r="W35" s="25"/>
      <c r="X35" s="25"/>
      <c r="Y35" s="25"/>
      <c r="AE35" s="25"/>
      <c r="AF35" s="25"/>
      <c r="AK35" s="24"/>
      <c r="AL35" s="25"/>
    </row>
    <row r="36" spans="1:885" ht="371.25">
      <c r="C36" s="49" t="s">
        <v>237</v>
      </c>
      <c r="E36" s="49" t="s">
        <v>486</v>
      </c>
      <c r="F36" s="25"/>
      <c r="H36" s="49" t="s">
        <v>720</v>
      </c>
      <c r="I36" s="49" t="s">
        <v>720</v>
      </c>
      <c r="J36" s="25"/>
      <c r="K36" s="49" t="s">
        <v>720</v>
      </c>
      <c r="L36" s="49" t="s">
        <v>486</v>
      </c>
      <c r="M36" s="49" t="s">
        <v>486</v>
      </c>
      <c r="N36" s="25"/>
      <c r="O36" s="25"/>
      <c r="P36" s="37" t="s">
        <v>622</v>
      </c>
      <c r="Q36" s="25"/>
      <c r="R36" s="25"/>
      <c r="S36" s="49" t="s">
        <v>488</v>
      </c>
      <c r="T36" s="49" t="s">
        <v>486</v>
      </c>
      <c r="U36" s="49" t="s">
        <v>555</v>
      </c>
      <c r="W36" s="37"/>
      <c r="X36" s="49" t="s">
        <v>720</v>
      </c>
      <c r="Y36" s="49" t="s">
        <v>486</v>
      </c>
      <c r="AA36" s="37"/>
      <c r="AC36" s="49"/>
      <c r="AD36" s="37"/>
      <c r="AE36" s="25"/>
      <c r="AF36" s="25"/>
      <c r="AH36" s="49" t="s">
        <v>720</v>
      </c>
      <c r="AI36" s="49"/>
      <c r="AJ36" s="49" t="s">
        <v>344</v>
      </c>
      <c r="AK36" s="25"/>
      <c r="AL36" s="25"/>
      <c r="AM36" s="91"/>
      <c r="AN36" s="92"/>
      <c r="AO36" s="93"/>
    </row>
  </sheetData>
  <mergeCells count="2">
    <mergeCell ref="P16:P17"/>
    <mergeCell ref="P7:P8"/>
  </mergeCells>
  <pageMargins left="0.70866141732282995" right="0.70866141732282995" top="0.74803149606299002" bottom="0.74803149606299002" header="0.31496062992126" footer="0.31496062992126"/>
  <pageSetup paperSize="9" scale="35" orientation="landscape" r:id="rId1"/>
  <headerFooter>
    <oddFooter>&amp;C_x000D_&amp;1#&amp;"Aptos"&amp;10&amp;K0000FF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Z45"/>
  <sheetViews>
    <sheetView topLeftCell="P27" zoomScaleNormal="100" workbookViewId="0">
      <selection activeCell="Q2" sqref="Q2"/>
    </sheetView>
  </sheetViews>
  <sheetFormatPr defaultColWidth="8.85546875" defaultRowHeight="12.75"/>
  <cols>
    <col min="1" max="1" width="10" style="109" customWidth="1"/>
    <col min="2" max="2" width="21.7109375" style="109" customWidth="1"/>
    <col min="3" max="3" width="56.28515625" style="109" customWidth="1"/>
    <col min="4" max="4" width="40.7109375" style="109" bestFit="1" customWidth="1"/>
    <col min="5" max="5" width="101.28515625" style="109" bestFit="1" customWidth="1"/>
    <col min="6" max="7" width="69.85546875" style="109" bestFit="1" customWidth="1"/>
    <col min="8" max="8" width="36.28515625" style="109" bestFit="1" customWidth="1"/>
    <col min="9" max="9" width="36.28515625" style="109" customWidth="1"/>
    <col min="10" max="10" width="48.42578125" style="109" bestFit="1" customWidth="1"/>
    <col min="11" max="11" width="46.42578125" style="109" customWidth="1"/>
    <col min="12" max="12" width="57.42578125" style="109" customWidth="1"/>
    <col min="13" max="14" width="79.5703125" style="109" bestFit="1" customWidth="1"/>
    <col min="15" max="15" width="61" style="109" bestFit="1" customWidth="1"/>
    <col min="16" max="16" width="71.5703125" style="109" bestFit="1" customWidth="1"/>
    <col min="17" max="17" width="64.5703125" style="109" customWidth="1"/>
    <col min="18" max="18" width="60.140625" style="109" bestFit="1" customWidth="1"/>
    <col min="19" max="19" width="38.42578125" style="109" bestFit="1" customWidth="1"/>
    <col min="20" max="20" width="60.140625" style="109" bestFit="1" customWidth="1"/>
    <col min="21" max="21" width="60.140625" style="109" customWidth="1"/>
    <col min="22" max="23" width="34.85546875" style="109" bestFit="1" customWidth="1"/>
    <col min="24" max="25" width="45.140625" style="109" bestFit="1" customWidth="1"/>
    <col min="26" max="26" width="62.85546875" style="109" bestFit="1" customWidth="1"/>
    <col min="27" max="27" width="56" style="109" bestFit="1" customWidth="1"/>
    <col min="28" max="28" width="8.85546875" style="109"/>
    <col min="29" max="29" width="55.28515625" style="109" customWidth="1"/>
    <col min="30" max="30" width="71.5703125" style="109" bestFit="1" customWidth="1"/>
    <col min="31" max="32" width="79.5703125" style="109" bestFit="1" customWidth="1"/>
    <col min="33" max="16384" width="8.85546875" style="109"/>
  </cols>
  <sheetData>
    <row r="1" spans="1:182" ht="25.5">
      <c r="A1" s="29"/>
      <c r="B1" s="29"/>
      <c r="C1" s="33" t="s">
        <v>395</v>
      </c>
      <c r="D1" s="33" t="s">
        <v>581</v>
      </c>
      <c r="E1" s="33" t="s">
        <v>691</v>
      </c>
      <c r="F1" s="33" t="s">
        <v>338</v>
      </c>
      <c r="G1" s="33" t="s">
        <v>165</v>
      </c>
      <c r="H1" s="33" t="s">
        <v>123</v>
      </c>
      <c r="I1" s="33" t="s">
        <v>725</v>
      </c>
      <c r="J1" s="33" t="s">
        <v>78</v>
      </c>
      <c r="K1" s="224" t="s">
        <v>726</v>
      </c>
      <c r="L1" s="224" t="s">
        <v>631</v>
      </c>
      <c r="M1" s="33" t="s">
        <v>339</v>
      </c>
      <c r="N1" s="33" t="s">
        <v>102</v>
      </c>
      <c r="O1" s="33" t="s">
        <v>206</v>
      </c>
      <c r="P1" s="33" t="s">
        <v>482</v>
      </c>
      <c r="Q1" s="33" t="s">
        <v>756</v>
      </c>
      <c r="R1" s="33" t="s">
        <v>483</v>
      </c>
      <c r="S1" s="33" t="s">
        <v>340</v>
      </c>
      <c r="T1" s="33" t="s">
        <v>143</v>
      </c>
      <c r="U1" s="33" t="s">
        <v>675</v>
      </c>
      <c r="V1" s="33" t="s">
        <v>341</v>
      </c>
      <c r="W1" s="33" t="s">
        <v>207</v>
      </c>
      <c r="X1" s="33" t="s">
        <v>464</v>
      </c>
      <c r="Y1" s="33" t="s">
        <v>604</v>
      </c>
      <c r="Z1" s="33" t="s">
        <v>582</v>
      </c>
      <c r="AA1" s="33" t="s">
        <v>716</v>
      </c>
      <c r="AC1" s="33" t="s">
        <v>655</v>
      </c>
      <c r="AD1" s="33" t="s">
        <v>397</v>
      </c>
      <c r="AE1" s="33" t="s">
        <v>404</v>
      </c>
      <c r="AF1" s="33" t="s">
        <v>398</v>
      </c>
    </row>
    <row r="2" spans="1:182" s="181" customFormat="1">
      <c r="A2" s="179" t="s">
        <v>529</v>
      </c>
      <c r="B2" s="180"/>
      <c r="C2" s="179" t="s">
        <v>530</v>
      </c>
      <c r="D2" s="179" t="s">
        <v>531</v>
      </c>
      <c r="E2" s="179" t="s">
        <v>532</v>
      </c>
      <c r="F2" s="179" t="s">
        <v>533</v>
      </c>
      <c r="G2" s="179" t="s">
        <v>534</v>
      </c>
      <c r="H2" s="179" t="s">
        <v>535</v>
      </c>
      <c r="I2" s="179"/>
      <c r="J2" s="179" t="s">
        <v>536</v>
      </c>
      <c r="K2" s="179" t="s">
        <v>630</v>
      </c>
      <c r="L2" s="225" t="s">
        <v>632</v>
      </c>
      <c r="M2" s="179" t="s">
        <v>537</v>
      </c>
      <c r="N2" s="179" t="s">
        <v>538</v>
      </c>
      <c r="O2" s="179" t="s">
        <v>539</v>
      </c>
      <c r="P2" s="179" t="s">
        <v>540</v>
      </c>
      <c r="Q2" s="179" t="s">
        <v>755</v>
      </c>
      <c r="R2" s="179" t="s">
        <v>541</v>
      </c>
      <c r="S2" s="179" t="s">
        <v>542</v>
      </c>
      <c r="T2" s="179" t="s">
        <v>543</v>
      </c>
      <c r="U2" s="179" t="s">
        <v>676</v>
      </c>
      <c r="V2" s="179" t="s">
        <v>544</v>
      </c>
      <c r="W2" s="179" t="s">
        <v>545</v>
      </c>
      <c r="X2" s="179" t="s">
        <v>546</v>
      </c>
      <c r="Y2" s="179" t="s">
        <v>547</v>
      </c>
      <c r="Z2" s="179" t="s">
        <v>548</v>
      </c>
      <c r="AA2" s="179" t="s">
        <v>549</v>
      </c>
      <c r="AC2" s="179" t="s">
        <v>540</v>
      </c>
      <c r="AD2" s="179" t="s">
        <v>540</v>
      </c>
      <c r="AE2" s="179" t="s">
        <v>540</v>
      </c>
      <c r="AF2" s="179" t="s">
        <v>550</v>
      </c>
    </row>
    <row r="3" spans="1:182" s="111" customFormat="1">
      <c r="A3" s="32">
        <v>1</v>
      </c>
      <c r="B3" s="31" t="s">
        <v>3</v>
      </c>
      <c r="C3" s="110"/>
      <c r="D3" s="110"/>
      <c r="E3" s="6"/>
      <c r="F3" s="36" t="s">
        <v>250</v>
      </c>
      <c r="G3" s="36"/>
      <c r="H3" s="36"/>
      <c r="I3" s="36"/>
      <c r="J3" s="6"/>
      <c r="K3" s="16"/>
      <c r="L3" s="16"/>
      <c r="M3" s="36" t="s">
        <v>250</v>
      </c>
      <c r="N3" s="36"/>
      <c r="O3" s="30"/>
      <c r="P3" s="16" t="s">
        <v>250</v>
      </c>
      <c r="Q3" s="15"/>
      <c r="R3" s="36" t="s">
        <v>250</v>
      </c>
      <c r="S3" s="36" t="s">
        <v>250</v>
      </c>
      <c r="T3" s="36"/>
      <c r="U3" s="36"/>
      <c r="V3" s="36" t="s">
        <v>250</v>
      </c>
      <c r="W3" s="36"/>
      <c r="X3" s="36" t="s">
        <v>250</v>
      </c>
      <c r="Y3" s="36"/>
      <c r="Z3" s="6"/>
      <c r="AA3" s="36"/>
      <c r="AB3" s="109"/>
      <c r="AC3" s="16"/>
      <c r="AD3" s="16"/>
      <c r="AE3" s="36"/>
      <c r="AF3" s="36"/>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c r="CK3" s="109"/>
      <c r="CL3" s="109"/>
      <c r="CM3" s="109"/>
      <c r="CN3" s="109"/>
      <c r="CO3" s="109"/>
      <c r="CP3" s="109"/>
      <c r="CQ3" s="109"/>
      <c r="CR3" s="109"/>
      <c r="CS3" s="109"/>
      <c r="CT3" s="109"/>
      <c r="CU3" s="109"/>
      <c r="CV3" s="109"/>
      <c r="CW3" s="109"/>
      <c r="CX3" s="109"/>
      <c r="CY3" s="109"/>
      <c r="CZ3" s="109"/>
      <c r="DA3" s="109"/>
      <c r="DB3" s="109"/>
      <c r="DC3" s="109"/>
      <c r="DD3" s="109"/>
      <c r="DE3" s="109"/>
      <c r="DF3" s="109"/>
      <c r="DG3" s="109"/>
      <c r="DH3" s="109"/>
      <c r="DI3" s="109"/>
      <c r="DJ3" s="109"/>
      <c r="DK3" s="109"/>
      <c r="DL3" s="109"/>
      <c r="DM3" s="109"/>
      <c r="DN3" s="109"/>
      <c r="DO3" s="109"/>
      <c r="DP3" s="109"/>
      <c r="DQ3" s="109"/>
      <c r="DR3" s="109"/>
      <c r="DS3" s="109"/>
      <c r="DT3" s="109"/>
      <c r="DU3" s="109"/>
      <c r="DV3" s="109"/>
      <c r="DW3" s="109"/>
      <c r="DX3" s="109"/>
      <c r="DY3" s="109"/>
      <c r="DZ3" s="109"/>
      <c r="EA3" s="109"/>
      <c r="EB3" s="109"/>
      <c r="EC3" s="109"/>
      <c r="ED3" s="109"/>
      <c r="EE3" s="109"/>
      <c r="EF3" s="109"/>
      <c r="EG3" s="109"/>
      <c r="EH3" s="109"/>
      <c r="EI3" s="109"/>
      <c r="EJ3" s="109"/>
      <c r="EK3" s="109"/>
      <c r="EL3" s="109"/>
      <c r="EM3" s="109"/>
      <c r="EN3" s="109"/>
      <c r="EO3" s="109"/>
      <c r="EP3" s="109"/>
      <c r="EQ3" s="109"/>
      <c r="ER3" s="109"/>
      <c r="ES3" s="109"/>
      <c r="ET3" s="109"/>
      <c r="EU3" s="109"/>
      <c r="EV3" s="109"/>
      <c r="EW3" s="109"/>
      <c r="EX3" s="109"/>
      <c r="EY3" s="109"/>
      <c r="EZ3" s="109"/>
      <c r="FA3" s="109"/>
      <c r="FB3" s="109"/>
      <c r="FC3" s="109"/>
      <c r="FD3" s="109"/>
      <c r="FE3" s="109"/>
      <c r="FF3" s="109"/>
      <c r="FG3" s="109"/>
      <c r="FH3" s="109"/>
      <c r="FI3" s="109"/>
      <c r="FJ3" s="109"/>
      <c r="FK3" s="109"/>
      <c r="FL3" s="109"/>
      <c r="FM3" s="109"/>
      <c r="FN3" s="109"/>
      <c r="FO3" s="109"/>
      <c r="FP3" s="109"/>
      <c r="FQ3" s="109"/>
      <c r="FR3" s="109"/>
      <c r="FS3" s="109"/>
      <c r="FT3" s="109"/>
      <c r="FU3" s="109"/>
      <c r="FV3" s="109"/>
      <c r="FW3" s="109"/>
      <c r="FX3" s="109"/>
      <c r="FY3" s="109"/>
      <c r="FZ3" s="109"/>
    </row>
    <row r="4" spans="1:182" ht="55.15" customHeight="1">
      <c r="A4" s="28">
        <v>1.1000000000000001</v>
      </c>
      <c r="B4" s="58" t="s">
        <v>4</v>
      </c>
      <c r="C4" s="112" t="s">
        <v>251</v>
      </c>
      <c r="D4" s="112" t="s">
        <v>405</v>
      </c>
      <c r="E4" s="97" t="s">
        <v>692</v>
      </c>
      <c r="F4" s="97" t="s">
        <v>269</v>
      </c>
      <c r="G4" s="97" t="s">
        <v>166</v>
      </c>
      <c r="H4" s="97" t="s">
        <v>124</v>
      </c>
      <c r="I4" s="97">
        <v>11</v>
      </c>
      <c r="J4" s="97" t="s">
        <v>79</v>
      </c>
      <c r="K4" s="97" t="s">
        <v>186</v>
      </c>
      <c r="L4" s="97" t="s">
        <v>633</v>
      </c>
      <c r="M4" s="97" t="s">
        <v>290</v>
      </c>
      <c r="N4" s="97" t="s">
        <v>103</v>
      </c>
      <c r="O4" s="97" t="s">
        <v>605</v>
      </c>
      <c r="P4" s="97">
        <v>2</v>
      </c>
      <c r="Q4" s="97" t="s">
        <v>732</v>
      </c>
      <c r="R4" s="97" t="s">
        <v>430</v>
      </c>
      <c r="S4" s="97" t="s">
        <v>303</v>
      </c>
      <c r="T4" s="97" t="s">
        <v>144</v>
      </c>
      <c r="U4" s="97" t="s">
        <v>677</v>
      </c>
      <c r="V4" s="97" t="s">
        <v>319</v>
      </c>
      <c r="W4" s="97" t="s">
        <v>405</v>
      </c>
      <c r="X4" s="124" t="s">
        <v>453</v>
      </c>
      <c r="Y4" s="127" t="s">
        <v>465</v>
      </c>
      <c r="Z4" s="97" t="s">
        <v>56</v>
      </c>
      <c r="AA4" s="59" t="s">
        <v>583</v>
      </c>
      <c r="AC4" s="97" t="s">
        <v>656</v>
      </c>
      <c r="AD4" s="97" t="s">
        <v>377</v>
      </c>
      <c r="AE4" s="97" t="s">
        <v>359</v>
      </c>
      <c r="AF4" s="97" t="s">
        <v>346</v>
      </c>
    </row>
    <row r="5" spans="1:182" ht="27.6" customHeight="1">
      <c r="A5" s="28">
        <v>1.2</v>
      </c>
      <c r="B5" s="58" t="s">
        <v>5</v>
      </c>
      <c r="C5" s="112" t="s">
        <v>252</v>
      </c>
      <c r="D5" s="112" t="s">
        <v>208</v>
      </c>
      <c r="E5" s="113" t="s">
        <v>693</v>
      </c>
      <c r="F5" s="97" t="s">
        <v>270</v>
      </c>
      <c r="G5" s="97" t="s">
        <v>167</v>
      </c>
      <c r="H5" s="97">
        <v>811</v>
      </c>
      <c r="I5" s="97">
        <v>12</v>
      </c>
      <c r="J5" s="97" t="s">
        <v>80</v>
      </c>
      <c r="K5" s="97" t="s">
        <v>187</v>
      </c>
      <c r="L5" s="97" t="s">
        <v>634</v>
      </c>
      <c r="M5" s="97" t="s">
        <v>285</v>
      </c>
      <c r="N5" s="97" t="s">
        <v>104</v>
      </c>
      <c r="O5" s="97" t="s">
        <v>606</v>
      </c>
      <c r="P5" s="97" t="s">
        <v>419</v>
      </c>
      <c r="Q5" s="97" t="s">
        <v>733</v>
      </c>
      <c r="R5" s="97" t="s">
        <v>431</v>
      </c>
      <c r="S5" s="97" t="s">
        <v>304</v>
      </c>
      <c r="T5" s="97" t="s">
        <v>145</v>
      </c>
      <c r="U5" s="97" t="s">
        <v>678</v>
      </c>
      <c r="V5" s="97" t="s">
        <v>320</v>
      </c>
      <c r="W5" s="97" t="s">
        <v>208</v>
      </c>
      <c r="X5" s="124" t="s">
        <v>454</v>
      </c>
      <c r="Y5" s="127" t="s">
        <v>466</v>
      </c>
      <c r="Z5" s="97" t="s">
        <v>57</v>
      </c>
      <c r="AA5" s="59" t="s">
        <v>584</v>
      </c>
      <c r="AC5" s="97" t="s">
        <v>657</v>
      </c>
      <c r="AD5" s="97" t="s">
        <v>378</v>
      </c>
      <c r="AE5" s="97" t="s">
        <v>360</v>
      </c>
      <c r="AF5" s="97" t="s">
        <v>347</v>
      </c>
    </row>
    <row r="6" spans="1:182" ht="69" customHeight="1">
      <c r="A6" s="28">
        <v>1.3</v>
      </c>
      <c r="B6" s="58" t="s">
        <v>6</v>
      </c>
      <c r="C6" s="112" t="s">
        <v>253</v>
      </c>
      <c r="D6" s="112" t="s">
        <v>563</v>
      </c>
      <c r="E6" s="97" t="s">
        <v>694</v>
      </c>
      <c r="F6" s="97" t="s">
        <v>271</v>
      </c>
      <c r="G6" s="97" t="s">
        <v>168</v>
      </c>
      <c r="H6" s="97" t="s">
        <v>125</v>
      </c>
      <c r="I6" s="97" t="s">
        <v>727</v>
      </c>
      <c r="J6" s="97" t="s">
        <v>81</v>
      </c>
      <c r="K6" s="97" t="s">
        <v>188</v>
      </c>
      <c r="L6" s="97" t="s">
        <v>635</v>
      </c>
      <c r="M6" s="97" t="s">
        <v>291</v>
      </c>
      <c r="N6" s="97" t="s">
        <v>105</v>
      </c>
      <c r="O6" s="232" t="s">
        <v>607</v>
      </c>
      <c r="P6" s="97" t="s">
        <v>420</v>
      </c>
      <c r="Q6" s="97" t="s">
        <v>734</v>
      </c>
      <c r="R6" s="97" t="s">
        <v>432</v>
      </c>
      <c r="S6" s="97" t="s">
        <v>305</v>
      </c>
      <c r="T6" s="97" t="s">
        <v>146</v>
      </c>
      <c r="U6" s="97" t="s">
        <v>679</v>
      </c>
      <c r="V6" s="97" t="s">
        <v>321</v>
      </c>
      <c r="W6" s="97" t="s">
        <v>209</v>
      </c>
      <c r="X6" s="124" t="s">
        <v>286</v>
      </c>
      <c r="Y6" s="127">
        <v>211</v>
      </c>
      <c r="Z6" s="97" t="s">
        <v>58</v>
      </c>
      <c r="AA6" s="59" t="s">
        <v>585</v>
      </c>
      <c r="AC6" s="97" t="s">
        <v>658</v>
      </c>
      <c r="AD6" s="97" t="s">
        <v>379</v>
      </c>
      <c r="AE6" s="97" t="s">
        <v>361</v>
      </c>
      <c r="AF6" s="97" t="s">
        <v>348</v>
      </c>
    </row>
    <row r="7" spans="1:182" ht="55.15" customHeight="1">
      <c r="A7" s="28">
        <v>1.4</v>
      </c>
      <c r="B7" s="60" t="s">
        <v>7</v>
      </c>
      <c r="C7" s="112" t="s">
        <v>254</v>
      </c>
      <c r="D7" s="112">
        <v>212</v>
      </c>
      <c r="E7" s="61" t="s">
        <v>695</v>
      </c>
      <c r="F7" s="97" t="s">
        <v>272</v>
      </c>
      <c r="G7" s="97" t="s">
        <v>248</v>
      </c>
      <c r="H7" s="97">
        <v>262</v>
      </c>
      <c r="I7" s="97">
        <v>22</v>
      </c>
      <c r="J7" s="97" t="s">
        <v>82</v>
      </c>
      <c r="K7" s="97" t="s">
        <v>189</v>
      </c>
      <c r="L7" s="97" t="s">
        <v>636</v>
      </c>
      <c r="M7" s="97" t="s">
        <v>248</v>
      </c>
      <c r="N7" s="97" t="s">
        <v>106</v>
      </c>
      <c r="O7" s="232"/>
      <c r="P7" s="97">
        <v>323</v>
      </c>
      <c r="Q7" s="97" t="s">
        <v>735</v>
      </c>
      <c r="R7" s="97" t="s">
        <v>433</v>
      </c>
      <c r="S7" s="97" t="s">
        <v>189</v>
      </c>
      <c r="T7" s="97" t="s">
        <v>147</v>
      </c>
      <c r="U7" s="97">
        <v>212</v>
      </c>
      <c r="V7" s="97" t="s">
        <v>189</v>
      </c>
      <c r="W7" s="97">
        <v>212</v>
      </c>
      <c r="X7" s="124" t="s">
        <v>248</v>
      </c>
      <c r="Y7" s="127" t="s">
        <v>467</v>
      </c>
      <c r="Z7" s="97" t="s">
        <v>59</v>
      </c>
      <c r="AA7" s="59" t="s">
        <v>219</v>
      </c>
      <c r="AC7" s="97">
        <v>212</v>
      </c>
      <c r="AD7" s="97" t="s">
        <v>248</v>
      </c>
      <c r="AE7" s="97" t="s">
        <v>362</v>
      </c>
      <c r="AF7" s="97">
        <v>720</v>
      </c>
    </row>
    <row r="8" spans="1:182" ht="30.6" customHeight="1">
      <c r="A8" s="28">
        <v>1.5</v>
      </c>
      <c r="B8" s="60" t="s">
        <v>8</v>
      </c>
      <c r="C8" s="112" t="s">
        <v>248</v>
      </c>
      <c r="D8" s="112">
        <v>129</v>
      </c>
      <c r="E8" s="61" t="s">
        <v>696</v>
      </c>
      <c r="F8" s="97" t="s">
        <v>248</v>
      </c>
      <c r="G8" s="97" t="s">
        <v>248</v>
      </c>
      <c r="H8" s="97">
        <v>241</v>
      </c>
      <c r="I8" s="97">
        <v>129</v>
      </c>
      <c r="J8" s="97" t="s">
        <v>83</v>
      </c>
      <c r="K8" s="97" t="s">
        <v>248</v>
      </c>
      <c r="L8" s="97" t="s">
        <v>637</v>
      </c>
      <c r="M8" s="97" t="s">
        <v>248</v>
      </c>
      <c r="N8" s="97" t="s">
        <v>83</v>
      </c>
      <c r="O8" s="97" t="s">
        <v>558</v>
      </c>
      <c r="P8" s="97" t="s">
        <v>248</v>
      </c>
      <c r="Q8" s="97" t="s">
        <v>736</v>
      </c>
      <c r="R8" s="97">
        <v>1220</v>
      </c>
      <c r="S8" s="97" t="s">
        <v>248</v>
      </c>
      <c r="T8" s="97" t="s">
        <v>248</v>
      </c>
      <c r="U8" s="97" t="s">
        <v>680</v>
      </c>
      <c r="V8" s="97" t="s">
        <v>248</v>
      </c>
      <c r="W8" s="97">
        <v>122</v>
      </c>
      <c r="X8" s="124" t="s">
        <v>248</v>
      </c>
      <c r="Y8" s="127"/>
      <c r="Z8" s="97" t="s">
        <v>60</v>
      </c>
      <c r="AA8" s="59" t="s">
        <v>220</v>
      </c>
      <c r="AC8" s="97">
        <v>129</v>
      </c>
      <c r="AD8" s="97" t="s">
        <v>248</v>
      </c>
      <c r="AE8" s="97" t="s">
        <v>248</v>
      </c>
      <c r="AF8" s="97" t="s">
        <v>248</v>
      </c>
    </row>
    <row r="9" spans="1:182" ht="24" customHeight="1">
      <c r="A9" s="28">
        <v>1.6</v>
      </c>
      <c r="B9" s="60" t="s">
        <v>9</v>
      </c>
      <c r="C9" s="112" t="s">
        <v>248</v>
      </c>
      <c r="D9" s="112" t="s">
        <v>564</v>
      </c>
      <c r="E9" s="61" t="s">
        <v>697</v>
      </c>
      <c r="F9" s="97" t="s">
        <v>248</v>
      </c>
      <c r="G9" s="97" t="s">
        <v>169</v>
      </c>
      <c r="H9" s="97" t="s">
        <v>126</v>
      </c>
      <c r="I9" s="97"/>
      <c r="J9" s="97" t="s">
        <v>84</v>
      </c>
      <c r="K9" s="97" t="s">
        <v>248</v>
      </c>
      <c r="L9" s="97" t="s">
        <v>637</v>
      </c>
      <c r="M9" s="97" t="s">
        <v>248</v>
      </c>
      <c r="N9" s="97" t="s">
        <v>107</v>
      </c>
      <c r="O9" s="97" t="s">
        <v>558</v>
      </c>
      <c r="P9" s="97" t="s">
        <v>248</v>
      </c>
      <c r="Q9" s="97" t="s">
        <v>558</v>
      </c>
      <c r="R9" s="97" t="s">
        <v>434</v>
      </c>
      <c r="S9" s="97" t="s">
        <v>248</v>
      </c>
      <c r="T9" s="97" t="s">
        <v>148</v>
      </c>
      <c r="U9" s="97">
        <v>22</v>
      </c>
      <c r="V9" s="97" t="s">
        <v>248</v>
      </c>
      <c r="W9" s="97">
        <v>129</v>
      </c>
      <c r="X9" s="124" t="s">
        <v>248</v>
      </c>
      <c r="Y9" s="127">
        <v>200</v>
      </c>
      <c r="Z9" s="97" t="s">
        <v>61</v>
      </c>
      <c r="AA9" s="59" t="s">
        <v>586</v>
      </c>
      <c r="AC9" s="97" t="s">
        <v>659</v>
      </c>
      <c r="AD9" s="97" t="s">
        <v>248</v>
      </c>
      <c r="AE9" s="97" t="s">
        <v>248</v>
      </c>
      <c r="AF9" s="97" t="s">
        <v>400</v>
      </c>
    </row>
    <row r="10" spans="1:182" s="111" customFormat="1">
      <c r="A10" s="35">
        <v>2</v>
      </c>
      <c r="B10" s="62" t="s">
        <v>10</v>
      </c>
      <c r="C10" s="114"/>
      <c r="D10" s="114"/>
      <c r="E10" s="62"/>
      <c r="F10" s="63"/>
      <c r="G10" s="63"/>
      <c r="H10" s="63"/>
      <c r="I10" s="63"/>
      <c r="J10" s="62"/>
      <c r="K10" s="63"/>
      <c r="L10" s="63"/>
      <c r="M10" s="63" t="s">
        <v>287</v>
      </c>
      <c r="N10" s="63"/>
      <c r="O10" s="63"/>
      <c r="P10" s="63" t="s">
        <v>255</v>
      </c>
      <c r="Q10" s="63"/>
      <c r="R10" s="63"/>
      <c r="S10" s="63" t="s">
        <v>255</v>
      </c>
      <c r="T10" s="63"/>
      <c r="U10" s="63"/>
      <c r="V10" s="63" t="s">
        <v>255</v>
      </c>
      <c r="W10" s="63"/>
      <c r="X10" s="125"/>
      <c r="Y10" s="128"/>
      <c r="Z10" s="62"/>
      <c r="AA10" s="65"/>
      <c r="AB10" s="109"/>
      <c r="AC10" s="63"/>
      <c r="AD10" s="63"/>
      <c r="AE10" s="63"/>
      <c r="AF10" s="63"/>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c r="CS10" s="109"/>
      <c r="CT10" s="109"/>
      <c r="CU10" s="109"/>
      <c r="CV10" s="109"/>
      <c r="CW10" s="109"/>
      <c r="CX10" s="109"/>
      <c r="CY10" s="109"/>
      <c r="CZ10" s="109"/>
      <c r="DA10" s="109"/>
      <c r="DB10" s="109"/>
      <c r="DC10" s="109"/>
      <c r="DD10" s="109"/>
      <c r="DE10" s="109"/>
      <c r="DF10" s="109"/>
      <c r="DG10" s="109"/>
      <c r="DH10" s="109"/>
      <c r="DI10" s="109"/>
      <c r="DJ10" s="109"/>
      <c r="DK10" s="109"/>
      <c r="DL10" s="109"/>
      <c r="DM10" s="109"/>
      <c r="DN10" s="109"/>
      <c r="DO10" s="109"/>
      <c r="DP10" s="109"/>
      <c r="DQ10" s="109"/>
      <c r="DR10" s="109"/>
      <c r="DS10" s="109"/>
      <c r="DT10" s="109"/>
      <c r="DU10" s="109"/>
      <c r="DV10" s="109"/>
      <c r="DW10" s="109"/>
      <c r="DX10" s="109"/>
      <c r="DY10" s="109"/>
      <c r="DZ10" s="109"/>
      <c r="EA10" s="109"/>
      <c r="EB10" s="109"/>
      <c r="EC10" s="109"/>
      <c r="ED10" s="109"/>
      <c r="EE10" s="109"/>
      <c r="EF10" s="109"/>
      <c r="EG10" s="109"/>
      <c r="EH10" s="109"/>
      <c r="EI10" s="109"/>
      <c r="EJ10" s="109"/>
      <c r="EK10" s="109"/>
      <c r="EL10" s="109"/>
      <c r="EM10" s="109"/>
      <c r="EN10" s="109"/>
      <c r="EO10" s="109"/>
      <c r="EP10" s="109"/>
      <c r="EQ10" s="109"/>
      <c r="ER10" s="109"/>
      <c r="ES10" s="109"/>
      <c r="ET10" s="109"/>
      <c r="EU10" s="109"/>
      <c r="EV10" s="109"/>
      <c r="EW10" s="109"/>
      <c r="EX10" s="109"/>
      <c r="EY10" s="109"/>
      <c r="EZ10" s="109"/>
      <c r="FA10" s="109"/>
      <c r="FB10" s="109"/>
      <c r="FC10" s="109"/>
      <c r="FD10" s="109"/>
      <c r="FE10" s="109"/>
      <c r="FF10" s="109"/>
      <c r="FG10" s="109"/>
      <c r="FH10" s="109"/>
      <c r="FI10" s="109"/>
      <c r="FJ10" s="109"/>
      <c r="FK10" s="109"/>
      <c r="FL10" s="109"/>
      <c r="FM10" s="109"/>
      <c r="FN10" s="109"/>
      <c r="FO10" s="109"/>
      <c r="FP10" s="109"/>
      <c r="FQ10" s="109"/>
      <c r="FR10" s="109"/>
      <c r="FS10" s="109"/>
      <c r="FT10" s="109"/>
      <c r="FU10" s="109"/>
      <c r="FV10" s="109"/>
      <c r="FW10" s="109"/>
      <c r="FX10" s="109"/>
      <c r="FY10" s="109"/>
      <c r="FZ10" s="109"/>
    </row>
    <row r="11" spans="1:182" ht="24" customHeight="1">
      <c r="A11" s="28">
        <v>2.1</v>
      </c>
      <c r="B11" s="58" t="s">
        <v>11</v>
      </c>
      <c r="C11" s="112" t="s">
        <v>256</v>
      </c>
      <c r="D11" s="112" t="s">
        <v>565</v>
      </c>
      <c r="E11" s="97" t="s">
        <v>698</v>
      </c>
      <c r="F11" s="97" t="s">
        <v>273</v>
      </c>
      <c r="G11" s="97" t="s">
        <v>170</v>
      </c>
      <c r="H11" s="97" t="s">
        <v>127</v>
      </c>
      <c r="I11" s="97" t="s">
        <v>728</v>
      </c>
      <c r="J11" s="97" t="s">
        <v>85</v>
      </c>
      <c r="K11" s="97" t="s">
        <v>190</v>
      </c>
      <c r="L11" s="97" t="s">
        <v>638</v>
      </c>
      <c r="M11" s="97" t="s">
        <v>292</v>
      </c>
      <c r="N11" s="97" t="s">
        <v>108</v>
      </c>
      <c r="O11" s="97" t="s">
        <v>608</v>
      </c>
      <c r="P11" s="97" t="s">
        <v>421</v>
      </c>
      <c r="Q11" s="97" t="s">
        <v>737</v>
      </c>
      <c r="R11" s="97" t="s">
        <v>435</v>
      </c>
      <c r="S11" s="97" t="s">
        <v>306</v>
      </c>
      <c r="T11" s="97" t="s">
        <v>149</v>
      </c>
      <c r="U11" s="97" t="s">
        <v>681</v>
      </c>
      <c r="V11" s="97" t="s">
        <v>322</v>
      </c>
      <c r="W11" s="97" t="s">
        <v>210</v>
      </c>
      <c r="X11" s="124" t="s">
        <v>455</v>
      </c>
      <c r="Y11" s="129" t="s">
        <v>468</v>
      </c>
      <c r="Z11" s="97" t="s">
        <v>62</v>
      </c>
      <c r="AA11" s="113" t="s">
        <v>587</v>
      </c>
      <c r="AC11" s="97" t="s">
        <v>660</v>
      </c>
      <c r="AD11" s="97" t="s">
        <v>380</v>
      </c>
      <c r="AE11" s="97" t="s">
        <v>363</v>
      </c>
      <c r="AF11" s="97" t="s">
        <v>349</v>
      </c>
    </row>
    <row r="12" spans="1:182" ht="48.6" customHeight="1">
      <c r="A12" s="28">
        <v>2.2000000000000002</v>
      </c>
      <c r="B12" s="58" t="s">
        <v>12</v>
      </c>
      <c r="C12" s="112" t="s">
        <v>257</v>
      </c>
      <c r="D12" s="112" t="s">
        <v>566</v>
      </c>
      <c r="E12" s="97" t="s">
        <v>699</v>
      </c>
      <c r="F12" s="97" t="s">
        <v>274</v>
      </c>
      <c r="G12" s="97" t="s">
        <v>171</v>
      </c>
      <c r="H12" s="97" t="s">
        <v>128</v>
      </c>
      <c r="I12" s="97">
        <v>36</v>
      </c>
      <c r="J12" s="97" t="s">
        <v>86</v>
      </c>
      <c r="K12" s="97" t="s">
        <v>191</v>
      </c>
      <c r="L12" s="97" t="s">
        <v>639</v>
      </c>
      <c r="M12" s="97" t="s">
        <v>293</v>
      </c>
      <c r="N12" s="97" t="s">
        <v>109</v>
      </c>
      <c r="O12" s="97" t="s">
        <v>609</v>
      </c>
      <c r="P12" s="97">
        <v>47</v>
      </c>
      <c r="Q12" s="97" t="s">
        <v>738</v>
      </c>
      <c r="R12" s="97" t="s">
        <v>436</v>
      </c>
      <c r="S12" s="97" t="s">
        <v>257</v>
      </c>
      <c r="T12" s="97" t="s">
        <v>150</v>
      </c>
      <c r="U12" s="97">
        <v>36</v>
      </c>
      <c r="V12" s="97" t="s">
        <v>191</v>
      </c>
      <c r="W12" s="97" t="s">
        <v>211</v>
      </c>
      <c r="X12" s="124" t="s">
        <v>456</v>
      </c>
      <c r="Y12" s="129" t="s">
        <v>469</v>
      </c>
      <c r="Z12" s="97" t="s">
        <v>63</v>
      </c>
      <c r="AA12" s="113" t="s">
        <v>588</v>
      </c>
      <c r="AC12" s="97" t="s">
        <v>661</v>
      </c>
      <c r="AD12" s="97" t="s">
        <v>381</v>
      </c>
      <c r="AE12" s="97">
        <v>441</v>
      </c>
      <c r="AF12" s="97" t="s">
        <v>350</v>
      </c>
    </row>
    <row r="13" spans="1:182" ht="40.9" customHeight="1">
      <c r="A13" s="28" t="s">
        <v>0</v>
      </c>
      <c r="B13" s="66" t="s">
        <v>14</v>
      </c>
      <c r="C13" s="233" t="s">
        <v>258</v>
      </c>
      <c r="D13" s="112" t="s">
        <v>567</v>
      </c>
      <c r="E13" s="97" t="s">
        <v>700</v>
      </c>
      <c r="F13" s="231" t="s">
        <v>275</v>
      </c>
      <c r="G13" s="97" t="s">
        <v>172</v>
      </c>
      <c r="H13" s="97" t="s">
        <v>129</v>
      </c>
      <c r="I13" s="97">
        <v>38</v>
      </c>
      <c r="J13" s="97" t="s">
        <v>87</v>
      </c>
      <c r="K13" s="97" t="s">
        <v>192</v>
      </c>
      <c r="L13" s="97" t="s">
        <v>640</v>
      </c>
      <c r="M13" s="231" t="s">
        <v>294</v>
      </c>
      <c r="N13" s="97" t="s">
        <v>110</v>
      </c>
      <c r="O13" s="97" t="s">
        <v>610</v>
      </c>
      <c r="P13" s="231" t="s">
        <v>422</v>
      </c>
      <c r="Q13" s="97" t="s">
        <v>739</v>
      </c>
      <c r="R13" s="68" t="s">
        <v>437</v>
      </c>
      <c r="S13" s="68" t="s">
        <v>307</v>
      </c>
      <c r="T13" s="97" t="s">
        <v>151</v>
      </c>
      <c r="U13" s="97">
        <v>38</v>
      </c>
      <c r="V13" s="231" t="s">
        <v>323</v>
      </c>
      <c r="W13" s="68" t="s">
        <v>406</v>
      </c>
      <c r="X13" s="124" t="s">
        <v>457</v>
      </c>
      <c r="Y13" s="129" t="s">
        <v>470</v>
      </c>
      <c r="Z13" s="97" t="s">
        <v>64</v>
      </c>
      <c r="AA13" s="59" t="s">
        <v>221</v>
      </c>
      <c r="AC13" s="97" t="s">
        <v>662</v>
      </c>
      <c r="AD13" s="97" t="s">
        <v>382</v>
      </c>
      <c r="AE13" s="97" t="s">
        <v>364</v>
      </c>
      <c r="AF13" s="97" t="s">
        <v>415</v>
      </c>
    </row>
    <row r="14" spans="1:182" ht="91.9" customHeight="1">
      <c r="A14" s="28" t="s">
        <v>1</v>
      </c>
      <c r="B14" s="66" t="s">
        <v>15</v>
      </c>
      <c r="C14" s="233"/>
      <c r="D14" s="112" t="s">
        <v>568</v>
      </c>
      <c r="E14" s="97" t="s">
        <v>701</v>
      </c>
      <c r="F14" s="231"/>
      <c r="G14" s="97">
        <v>391</v>
      </c>
      <c r="H14" s="97" t="s">
        <v>130</v>
      </c>
      <c r="I14" s="97">
        <v>39</v>
      </c>
      <c r="J14" s="97" t="s">
        <v>88</v>
      </c>
      <c r="K14" s="97" t="s">
        <v>248</v>
      </c>
      <c r="L14" s="97" t="s">
        <v>641</v>
      </c>
      <c r="M14" s="231"/>
      <c r="N14" s="97" t="s">
        <v>111</v>
      </c>
      <c r="O14" s="232" t="s">
        <v>611</v>
      </c>
      <c r="P14" s="231"/>
      <c r="Q14" s="97" t="s">
        <v>740</v>
      </c>
      <c r="R14" s="68" t="s">
        <v>438</v>
      </c>
      <c r="S14" s="68" t="s">
        <v>248</v>
      </c>
      <c r="T14" s="97">
        <v>250</v>
      </c>
      <c r="U14" s="97">
        <v>39</v>
      </c>
      <c r="V14" s="231"/>
      <c r="W14" s="68" t="s">
        <v>407</v>
      </c>
      <c r="X14" s="124" t="s">
        <v>458</v>
      </c>
      <c r="Y14" s="129" t="s">
        <v>407</v>
      </c>
      <c r="Z14" s="97" t="s">
        <v>65</v>
      </c>
      <c r="AA14" s="59" t="s">
        <v>589</v>
      </c>
      <c r="AD14" s="109" t="s">
        <v>248</v>
      </c>
      <c r="AE14" s="109" t="s">
        <v>248</v>
      </c>
      <c r="AF14" s="109" t="s">
        <v>416</v>
      </c>
    </row>
    <row r="15" spans="1:182" ht="255" customHeight="1">
      <c r="A15" s="28">
        <v>2.4</v>
      </c>
      <c r="B15" s="66" t="s">
        <v>16</v>
      </c>
      <c r="C15" s="112" t="s">
        <v>248</v>
      </c>
      <c r="D15" s="112" t="s">
        <v>569</v>
      </c>
      <c r="E15" s="97" t="s">
        <v>702</v>
      </c>
      <c r="F15" s="97" t="s">
        <v>212</v>
      </c>
      <c r="G15" s="97" t="s">
        <v>173</v>
      </c>
      <c r="H15" s="97" t="s">
        <v>131</v>
      </c>
      <c r="I15" s="97">
        <v>41</v>
      </c>
      <c r="J15" s="97" t="s">
        <v>89</v>
      </c>
      <c r="K15" s="97" t="s">
        <v>193</v>
      </c>
      <c r="L15" s="97" t="s">
        <v>637</v>
      </c>
      <c r="M15" s="97" t="s">
        <v>248</v>
      </c>
      <c r="N15" s="97" t="s">
        <v>112</v>
      </c>
      <c r="O15" s="232"/>
      <c r="P15" s="97">
        <v>63</v>
      </c>
      <c r="Q15" s="97" t="s">
        <v>741</v>
      </c>
      <c r="R15" s="97" t="s">
        <v>439</v>
      </c>
      <c r="S15" s="97" t="s">
        <v>308</v>
      </c>
      <c r="T15" s="97" t="s">
        <v>152</v>
      </c>
      <c r="U15" s="97">
        <v>42</v>
      </c>
      <c r="V15" s="97" t="s">
        <v>193</v>
      </c>
      <c r="W15" s="97" t="s">
        <v>173</v>
      </c>
      <c r="X15" s="124" t="s">
        <v>248</v>
      </c>
      <c r="Y15" s="129" t="s">
        <v>471</v>
      </c>
      <c r="Z15" s="97" t="s">
        <v>66</v>
      </c>
      <c r="AA15" s="59" t="s">
        <v>590</v>
      </c>
      <c r="AC15" s="97" t="s">
        <v>663</v>
      </c>
      <c r="AD15" s="97" t="s">
        <v>383</v>
      </c>
      <c r="AE15" s="97" t="s">
        <v>365</v>
      </c>
      <c r="AF15" s="97" t="s">
        <v>351</v>
      </c>
    </row>
    <row r="16" spans="1:182" ht="30.6" customHeight="1">
      <c r="A16" s="28">
        <v>2.5</v>
      </c>
      <c r="B16" s="66" t="s">
        <v>17</v>
      </c>
      <c r="C16" s="112" t="s">
        <v>259</v>
      </c>
      <c r="D16" s="112" t="s">
        <v>570</v>
      </c>
      <c r="E16" s="97" t="s">
        <v>703</v>
      </c>
      <c r="F16" s="97" t="s">
        <v>276</v>
      </c>
      <c r="G16" s="97" t="s">
        <v>174</v>
      </c>
      <c r="H16" s="97" t="s">
        <v>248</v>
      </c>
      <c r="I16" s="97">
        <v>42</v>
      </c>
      <c r="J16" s="97" t="s">
        <v>90</v>
      </c>
      <c r="K16" s="97" t="s">
        <v>194</v>
      </c>
      <c r="L16" s="97" t="s">
        <v>642</v>
      </c>
      <c r="M16" s="97" t="s">
        <v>295</v>
      </c>
      <c r="N16" s="97" t="s">
        <v>113</v>
      </c>
      <c r="O16" s="97" t="s">
        <v>612</v>
      </c>
      <c r="P16" s="97">
        <v>62</v>
      </c>
      <c r="Q16" s="97" t="s">
        <v>742</v>
      </c>
      <c r="R16" s="97" t="s">
        <v>440</v>
      </c>
      <c r="S16" s="97" t="s">
        <v>309</v>
      </c>
      <c r="T16" s="97" t="s">
        <v>153</v>
      </c>
      <c r="U16" s="97">
        <v>41</v>
      </c>
      <c r="V16" s="97" t="s">
        <v>324</v>
      </c>
      <c r="W16" s="97">
        <v>411</v>
      </c>
      <c r="X16" s="124" t="s">
        <v>248</v>
      </c>
      <c r="Y16" s="109" t="s">
        <v>472</v>
      </c>
      <c r="Z16" s="97" t="s">
        <v>67</v>
      </c>
      <c r="AA16" s="59" t="s">
        <v>222</v>
      </c>
      <c r="AC16" s="97">
        <v>411</v>
      </c>
      <c r="AD16" s="97" t="s">
        <v>384</v>
      </c>
      <c r="AE16" s="97" t="s">
        <v>366</v>
      </c>
      <c r="AF16" s="97" t="s">
        <v>352</v>
      </c>
    </row>
    <row r="17" spans="1:182" ht="24" customHeight="1">
      <c r="A17" s="28">
        <v>2.6</v>
      </c>
      <c r="B17" s="60" t="s">
        <v>18</v>
      </c>
      <c r="C17" s="112" t="s">
        <v>260</v>
      </c>
      <c r="D17" s="112" t="s">
        <v>571</v>
      </c>
      <c r="E17" s="113" t="s">
        <v>704</v>
      </c>
      <c r="F17" s="97" t="s">
        <v>277</v>
      </c>
      <c r="G17" s="97" t="s">
        <v>175</v>
      </c>
      <c r="H17" s="97" t="s">
        <v>132</v>
      </c>
      <c r="I17" s="97">
        <v>936.93799999999999</v>
      </c>
      <c r="J17" s="97" t="s">
        <v>91</v>
      </c>
      <c r="K17" s="97" t="s">
        <v>195</v>
      </c>
      <c r="L17" s="97" t="s">
        <v>643</v>
      </c>
      <c r="M17" s="97" t="s">
        <v>285</v>
      </c>
      <c r="N17" s="97" t="s">
        <v>114</v>
      </c>
      <c r="O17" s="97" t="s">
        <v>46</v>
      </c>
      <c r="P17" s="97" t="s">
        <v>423</v>
      </c>
      <c r="Q17" s="97" t="s">
        <v>743</v>
      </c>
      <c r="R17" s="97" t="s">
        <v>441</v>
      </c>
      <c r="S17" s="97" t="s">
        <v>310</v>
      </c>
      <c r="T17" s="97" t="s">
        <v>154</v>
      </c>
      <c r="U17" s="97" t="s">
        <v>682</v>
      </c>
      <c r="V17" s="97"/>
      <c r="W17" s="97" t="s">
        <v>213</v>
      </c>
      <c r="X17" s="124" t="s">
        <v>333</v>
      </c>
      <c r="Y17" s="127">
        <v>300</v>
      </c>
      <c r="Z17" s="97" t="s">
        <v>402</v>
      </c>
      <c r="AA17" s="113" t="s">
        <v>591</v>
      </c>
      <c r="AC17" s="97" t="s">
        <v>664</v>
      </c>
      <c r="AD17" s="97" t="s">
        <v>385</v>
      </c>
      <c r="AE17" s="97" t="s">
        <v>367</v>
      </c>
      <c r="AF17" s="97">
        <v>680</v>
      </c>
    </row>
    <row r="18" spans="1:182" ht="24" customHeight="1">
      <c r="A18" s="28">
        <v>2.7</v>
      </c>
      <c r="B18" s="60" t="s">
        <v>19</v>
      </c>
      <c r="C18" s="112" t="s">
        <v>248</v>
      </c>
      <c r="D18" s="112">
        <v>940</v>
      </c>
      <c r="E18" s="97" t="s">
        <v>705</v>
      </c>
      <c r="F18" s="97" t="s">
        <v>248</v>
      </c>
      <c r="G18" s="97" t="s">
        <v>176</v>
      </c>
      <c r="H18" s="97">
        <v>361</v>
      </c>
      <c r="I18" s="97"/>
      <c r="J18" s="97"/>
      <c r="K18" s="97" t="s">
        <v>248</v>
      </c>
      <c r="L18" s="97" t="s">
        <v>637</v>
      </c>
      <c r="M18" s="97" t="s">
        <v>248</v>
      </c>
      <c r="N18" s="97" t="s">
        <v>115</v>
      </c>
      <c r="O18" s="97" t="s">
        <v>558</v>
      </c>
      <c r="P18" s="97" t="s">
        <v>248</v>
      </c>
      <c r="Q18" s="97" t="s">
        <v>744</v>
      </c>
      <c r="R18" s="97" t="s">
        <v>442</v>
      </c>
      <c r="S18" s="97" t="s">
        <v>248</v>
      </c>
      <c r="T18" s="97" t="s">
        <v>155</v>
      </c>
      <c r="U18" s="97" t="s">
        <v>683</v>
      </c>
      <c r="V18" s="97" t="s">
        <v>248</v>
      </c>
      <c r="W18" s="97" t="s">
        <v>408</v>
      </c>
      <c r="X18" s="124" t="s">
        <v>334</v>
      </c>
      <c r="Y18" s="127" t="s">
        <v>473</v>
      </c>
      <c r="Z18" s="97"/>
      <c r="AA18" s="59" t="s">
        <v>592</v>
      </c>
      <c r="AC18" s="97" t="s">
        <v>665</v>
      </c>
      <c r="AD18" s="97" t="s">
        <v>248</v>
      </c>
      <c r="AE18" s="97" t="s">
        <v>248</v>
      </c>
      <c r="AF18" s="97" t="s">
        <v>401</v>
      </c>
    </row>
    <row r="19" spans="1:182" s="111" customFormat="1">
      <c r="A19" s="35">
        <v>3</v>
      </c>
      <c r="B19" s="62" t="s">
        <v>20</v>
      </c>
      <c r="C19" s="115"/>
      <c r="D19" s="114"/>
      <c r="E19" s="62"/>
      <c r="F19" s="63"/>
      <c r="G19" s="63"/>
      <c r="H19" s="63"/>
      <c r="I19" s="63"/>
      <c r="J19" s="62"/>
      <c r="K19" s="63"/>
      <c r="L19" s="63"/>
      <c r="M19" s="63"/>
      <c r="N19" s="63"/>
      <c r="O19" s="63"/>
      <c r="P19" s="63"/>
      <c r="Q19" s="63"/>
      <c r="R19" s="63"/>
      <c r="S19" s="63"/>
      <c r="T19" s="63"/>
      <c r="U19" s="63"/>
      <c r="V19" s="63"/>
      <c r="W19" s="63"/>
      <c r="X19" s="125"/>
      <c r="Y19" s="128"/>
      <c r="Z19" s="62"/>
      <c r="AA19" s="64"/>
      <c r="AB19" s="109"/>
      <c r="AC19" s="63"/>
      <c r="AD19" s="63"/>
      <c r="AE19" s="63"/>
      <c r="AF19" s="63"/>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c r="CK19" s="109"/>
      <c r="CL19" s="109"/>
      <c r="CM19" s="109"/>
      <c r="CN19" s="109"/>
      <c r="CO19" s="109"/>
      <c r="CP19" s="109"/>
      <c r="CQ19" s="109"/>
      <c r="CR19" s="109"/>
      <c r="CS19" s="109"/>
      <c r="CT19" s="109"/>
      <c r="CU19" s="109"/>
      <c r="CV19" s="109"/>
      <c r="CW19" s="109"/>
      <c r="CX19" s="109"/>
      <c r="CY19" s="109"/>
      <c r="CZ19" s="109"/>
      <c r="DA19" s="109"/>
      <c r="DB19" s="109"/>
      <c r="DC19" s="109"/>
      <c r="DD19" s="109"/>
      <c r="DE19" s="109"/>
      <c r="DF19" s="109"/>
      <c r="DG19" s="109"/>
      <c r="DH19" s="109"/>
      <c r="DI19" s="109"/>
      <c r="DJ19" s="109"/>
      <c r="DK19" s="109"/>
      <c r="DL19" s="109"/>
      <c r="DM19" s="109"/>
      <c r="DN19" s="109"/>
      <c r="DO19" s="109"/>
      <c r="DP19" s="109"/>
      <c r="DQ19" s="109"/>
      <c r="DR19" s="109"/>
      <c r="DS19" s="109"/>
      <c r="DT19" s="109"/>
      <c r="DU19" s="109"/>
      <c r="DV19" s="109"/>
      <c r="DW19" s="109"/>
      <c r="DX19" s="109"/>
      <c r="DY19" s="109"/>
      <c r="DZ19" s="109"/>
      <c r="EA19" s="109"/>
      <c r="EB19" s="109"/>
      <c r="EC19" s="109"/>
      <c r="ED19" s="109"/>
      <c r="EE19" s="109"/>
      <c r="EF19" s="109"/>
      <c r="EG19" s="109"/>
      <c r="EH19" s="109"/>
      <c r="EI19" s="109"/>
      <c r="EJ19" s="109"/>
      <c r="EK19" s="109"/>
      <c r="EL19" s="109"/>
      <c r="EM19" s="109"/>
      <c r="EN19" s="109"/>
      <c r="EO19" s="109"/>
      <c r="EP19" s="109"/>
      <c r="EQ19" s="109"/>
      <c r="ER19" s="109"/>
      <c r="ES19" s="109"/>
      <c r="ET19" s="109"/>
      <c r="EU19" s="109"/>
      <c r="EV19" s="109"/>
      <c r="EW19" s="109"/>
      <c r="EX19" s="109"/>
      <c r="EY19" s="109"/>
      <c r="EZ19" s="109"/>
      <c r="FA19" s="109"/>
      <c r="FB19" s="109"/>
      <c r="FC19" s="109"/>
      <c r="FD19" s="109"/>
      <c r="FE19" s="109"/>
      <c r="FF19" s="109"/>
      <c r="FG19" s="109"/>
      <c r="FH19" s="109"/>
      <c r="FI19" s="109"/>
      <c r="FJ19" s="109"/>
      <c r="FK19" s="109"/>
      <c r="FL19" s="109"/>
      <c r="FM19" s="109"/>
      <c r="FN19" s="109"/>
      <c r="FO19" s="109"/>
      <c r="FP19" s="109"/>
      <c r="FQ19" s="109"/>
      <c r="FR19" s="109"/>
      <c r="FS19" s="109"/>
      <c r="FT19" s="109"/>
      <c r="FU19" s="109"/>
      <c r="FV19" s="109"/>
      <c r="FW19" s="109"/>
      <c r="FX19" s="109"/>
      <c r="FY19" s="109"/>
      <c r="FZ19" s="109"/>
    </row>
    <row r="20" spans="1:182" ht="51" customHeight="1">
      <c r="A20" s="28">
        <v>3.1</v>
      </c>
      <c r="B20" s="58" t="s">
        <v>21</v>
      </c>
      <c r="C20" s="113" t="s">
        <v>261</v>
      </c>
      <c r="D20" s="116" t="s">
        <v>572</v>
      </c>
      <c r="E20" s="97" t="s">
        <v>706</v>
      </c>
      <c r="F20" s="97" t="s">
        <v>278</v>
      </c>
      <c r="G20" s="97" t="s">
        <v>177</v>
      </c>
      <c r="H20" s="97" t="s">
        <v>133</v>
      </c>
      <c r="I20" s="97">
        <v>1</v>
      </c>
      <c r="J20" s="97" t="s">
        <v>92</v>
      </c>
      <c r="K20" s="97" t="s">
        <v>196</v>
      </c>
      <c r="L20" s="97" t="s">
        <v>644</v>
      </c>
      <c r="M20" s="97" t="s">
        <v>21</v>
      </c>
      <c r="N20" s="97" t="s">
        <v>92</v>
      </c>
      <c r="O20" s="97" t="s">
        <v>613</v>
      </c>
      <c r="P20" s="97">
        <v>11</v>
      </c>
      <c r="Q20" s="97" t="s">
        <v>745</v>
      </c>
      <c r="R20" s="97" t="s">
        <v>443</v>
      </c>
      <c r="S20" s="97" t="s">
        <v>21</v>
      </c>
      <c r="T20" s="97" t="s">
        <v>156</v>
      </c>
      <c r="U20" s="97" t="s">
        <v>684</v>
      </c>
      <c r="V20" s="97" t="s">
        <v>325</v>
      </c>
      <c r="W20" s="97" t="s">
        <v>214</v>
      </c>
      <c r="X20" s="124" t="s">
        <v>459</v>
      </c>
      <c r="Y20" s="127">
        <v>11</v>
      </c>
      <c r="Z20" s="97" t="s">
        <v>68</v>
      </c>
      <c r="AA20" s="117" t="s">
        <v>223</v>
      </c>
      <c r="AC20" s="97" t="s">
        <v>666</v>
      </c>
      <c r="AD20" s="97" t="s">
        <v>21</v>
      </c>
      <c r="AE20" s="97" t="s">
        <v>368</v>
      </c>
      <c r="AF20" s="97">
        <v>10</v>
      </c>
    </row>
    <row r="21" spans="1:182" ht="20.45" customHeight="1">
      <c r="A21" s="28">
        <v>3.2</v>
      </c>
      <c r="B21" s="60" t="s">
        <v>22</v>
      </c>
      <c r="C21" s="116" t="s">
        <v>262</v>
      </c>
      <c r="D21" s="120" t="s">
        <v>573</v>
      </c>
      <c r="E21" s="97" t="s">
        <v>707</v>
      </c>
      <c r="F21" s="97">
        <v>21</v>
      </c>
      <c r="G21" s="97" t="s">
        <v>178</v>
      </c>
      <c r="H21" s="97" t="s">
        <v>134</v>
      </c>
      <c r="I21" s="97">
        <v>2</v>
      </c>
      <c r="J21" s="97" t="s">
        <v>93</v>
      </c>
      <c r="K21" s="97" t="s">
        <v>197</v>
      </c>
      <c r="L21" s="97" t="s">
        <v>645</v>
      </c>
      <c r="M21" s="97" t="s">
        <v>296</v>
      </c>
      <c r="N21" s="97" t="s">
        <v>116</v>
      </c>
      <c r="O21" s="97" t="s">
        <v>614</v>
      </c>
      <c r="P21" s="97">
        <v>12</v>
      </c>
      <c r="Q21" s="97" t="s">
        <v>746</v>
      </c>
      <c r="R21" s="97" t="s">
        <v>444</v>
      </c>
      <c r="S21" s="97" t="s">
        <v>197</v>
      </c>
      <c r="T21" s="97" t="s">
        <v>157</v>
      </c>
      <c r="U21" s="97" t="s">
        <v>587</v>
      </c>
      <c r="V21" s="97" t="s">
        <v>22</v>
      </c>
      <c r="W21" s="97">
        <v>21</v>
      </c>
      <c r="X21" s="124" t="s">
        <v>335</v>
      </c>
      <c r="Y21" s="127">
        <v>21</v>
      </c>
      <c r="Z21" s="97" t="s">
        <v>69</v>
      </c>
      <c r="AA21" s="113" t="s">
        <v>593</v>
      </c>
      <c r="AC21" s="97" t="s">
        <v>573</v>
      </c>
      <c r="AD21" s="97" t="s">
        <v>197</v>
      </c>
      <c r="AE21" s="97" t="s">
        <v>369</v>
      </c>
      <c r="AF21" s="97">
        <v>20</v>
      </c>
    </row>
    <row r="22" spans="1:182" ht="51" customHeight="1">
      <c r="A22" s="28">
        <v>3.3</v>
      </c>
      <c r="B22" s="60" t="s">
        <v>23</v>
      </c>
      <c r="C22" s="112" t="s">
        <v>263</v>
      </c>
      <c r="D22" s="112" t="s">
        <v>574</v>
      </c>
      <c r="E22" s="97" t="s">
        <v>708</v>
      </c>
      <c r="F22" s="97" t="s">
        <v>279</v>
      </c>
      <c r="G22" s="97" t="s">
        <v>179</v>
      </c>
      <c r="H22" s="97" t="s">
        <v>135</v>
      </c>
      <c r="I22" s="97">
        <v>3</v>
      </c>
      <c r="J22" s="97" t="s">
        <v>94</v>
      </c>
      <c r="K22" s="97" t="s">
        <v>198</v>
      </c>
      <c r="L22" s="97" t="s">
        <v>646</v>
      </c>
      <c r="M22" s="97" t="s">
        <v>288</v>
      </c>
      <c r="N22" s="97" t="s">
        <v>117</v>
      </c>
      <c r="O22" s="97" t="s">
        <v>615</v>
      </c>
      <c r="P22" s="97" t="s">
        <v>424</v>
      </c>
      <c r="Q22" s="97" t="s">
        <v>747</v>
      </c>
      <c r="R22" s="97" t="s">
        <v>445</v>
      </c>
      <c r="S22" s="97" t="s">
        <v>311</v>
      </c>
      <c r="T22" s="97" t="s">
        <v>158</v>
      </c>
      <c r="U22" s="97" t="s">
        <v>685</v>
      </c>
      <c r="V22" s="97" t="s">
        <v>326</v>
      </c>
      <c r="W22" s="97" t="s">
        <v>215</v>
      </c>
      <c r="X22" s="124" t="s">
        <v>460</v>
      </c>
      <c r="Y22" s="129" t="s">
        <v>474</v>
      </c>
      <c r="Z22" s="97" t="s">
        <v>70</v>
      </c>
      <c r="AA22" s="113" t="s">
        <v>594</v>
      </c>
      <c r="AC22" s="97" t="s">
        <v>667</v>
      </c>
      <c r="AD22" s="97" t="s">
        <v>386</v>
      </c>
      <c r="AE22" s="97" t="s">
        <v>370</v>
      </c>
      <c r="AF22" s="97" t="s">
        <v>353</v>
      </c>
    </row>
    <row r="23" spans="1:182" s="111" customFormat="1">
      <c r="A23" s="35">
        <v>4</v>
      </c>
      <c r="B23" s="62" t="s">
        <v>24</v>
      </c>
      <c r="C23" s="115"/>
      <c r="D23" s="114"/>
      <c r="E23" s="62"/>
      <c r="F23" s="63"/>
      <c r="G23" s="63"/>
      <c r="H23" s="63"/>
      <c r="I23" s="63"/>
      <c r="J23" s="62"/>
      <c r="K23" s="63"/>
      <c r="L23" s="63"/>
      <c r="M23" s="63"/>
      <c r="N23" s="63"/>
      <c r="O23" s="63"/>
      <c r="P23" s="63"/>
      <c r="Q23" s="63"/>
      <c r="R23" s="63"/>
      <c r="S23" s="63"/>
      <c r="T23" s="63"/>
      <c r="U23" s="63"/>
      <c r="V23" s="63"/>
      <c r="W23" s="63"/>
      <c r="X23" s="125"/>
      <c r="Y23" s="128"/>
      <c r="Z23" s="62"/>
      <c r="AA23" s="64"/>
      <c r="AB23" s="109"/>
      <c r="AC23" s="63"/>
      <c r="AD23" s="63"/>
      <c r="AE23" s="63"/>
      <c r="AF23" s="63"/>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c r="CQ23" s="109"/>
      <c r="CR23" s="109"/>
      <c r="CS23" s="109"/>
      <c r="CT23" s="109"/>
      <c r="CU23" s="109"/>
      <c r="CV23" s="109"/>
      <c r="CW23" s="109"/>
      <c r="CX23" s="109"/>
      <c r="CY23" s="109"/>
      <c r="CZ23" s="109"/>
      <c r="DA23" s="109"/>
      <c r="DB23" s="109"/>
      <c r="DC23" s="109"/>
      <c r="DD23" s="109"/>
      <c r="DE23" s="109"/>
      <c r="DF23" s="109"/>
      <c r="DG23" s="109"/>
      <c r="DH23" s="109"/>
      <c r="DI23" s="109"/>
      <c r="DJ23" s="109"/>
      <c r="DK23" s="109"/>
      <c r="DL23" s="109"/>
      <c r="DM23" s="109"/>
      <c r="DN23" s="109"/>
      <c r="DO23" s="109"/>
      <c r="DP23" s="109"/>
      <c r="DQ23" s="109"/>
      <c r="DR23" s="109"/>
      <c r="DS23" s="109"/>
      <c r="DT23" s="109"/>
      <c r="DU23" s="109"/>
      <c r="DV23" s="109"/>
      <c r="DW23" s="109"/>
      <c r="DX23" s="109"/>
      <c r="DY23" s="109"/>
      <c r="DZ23" s="109"/>
      <c r="EA23" s="109"/>
      <c r="EB23" s="109"/>
      <c r="EC23" s="109"/>
      <c r="ED23" s="109"/>
      <c r="EE23" s="109"/>
      <c r="EF23" s="109"/>
      <c r="EG23" s="109"/>
      <c r="EH23" s="109"/>
      <c r="EI23" s="109"/>
      <c r="EJ23" s="109"/>
      <c r="EK23" s="109"/>
      <c r="EL23" s="109"/>
      <c r="EM23" s="109"/>
      <c r="EN23" s="109"/>
      <c r="EO23" s="109"/>
      <c r="EP23" s="109"/>
      <c r="EQ23" s="109"/>
      <c r="ER23" s="109"/>
      <c r="ES23" s="109"/>
      <c r="ET23" s="109"/>
      <c r="EU23" s="109"/>
      <c r="EV23" s="109"/>
      <c r="EW23" s="109"/>
      <c r="EX23" s="109"/>
      <c r="EY23" s="109"/>
      <c r="EZ23" s="109"/>
      <c r="FA23" s="109"/>
      <c r="FB23" s="109"/>
      <c r="FC23" s="109"/>
      <c r="FD23" s="109"/>
      <c r="FE23" s="109"/>
      <c r="FF23" s="109"/>
      <c r="FG23" s="109"/>
      <c r="FH23" s="109"/>
      <c r="FI23" s="109"/>
      <c r="FJ23" s="109"/>
      <c r="FK23" s="109"/>
      <c r="FL23" s="109"/>
      <c r="FM23" s="109"/>
      <c r="FN23" s="109"/>
      <c r="FO23" s="109"/>
      <c r="FP23" s="109"/>
      <c r="FQ23" s="109"/>
      <c r="FR23" s="109"/>
      <c r="FS23" s="109"/>
      <c r="FT23" s="109"/>
      <c r="FU23" s="109"/>
      <c r="FV23" s="109"/>
      <c r="FW23" s="109"/>
      <c r="FX23" s="109"/>
      <c r="FY23" s="109"/>
      <c r="FZ23" s="109"/>
    </row>
    <row r="24" spans="1:182" ht="282.60000000000002" customHeight="1">
      <c r="A24" s="28">
        <v>4.0999999999999996</v>
      </c>
      <c r="B24" s="66" t="s">
        <v>25</v>
      </c>
      <c r="C24" s="113" t="s">
        <v>264</v>
      </c>
      <c r="D24" s="112" t="s">
        <v>575</v>
      </c>
      <c r="E24" s="97" t="s">
        <v>709</v>
      </c>
      <c r="F24" s="97" t="s">
        <v>280</v>
      </c>
      <c r="G24" s="97" t="s">
        <v>180</v>
      </c>
      <c r="H24" s="97" t="s">
        <v>136</v>
      </c>
      <c r="I24" s="97" t="s">
        <v>729</v>
      </c>
      <c r="J24" s="97" t="s">
        <v>95</v>
      </c>
      <c r="K24" s="97" t="s">
        <v>199</v>
      </c>
      <c r="L24" s="97" t="s">
        <v>647</v>
      </c>
      <c r="M24" s="97" t="s">
        <v>297</v>
      </c>
      <c r="N24" s="97" t="s">
        <v>233</v>
      </c>
      <c r="O24" s="97" t="s">
        <v>616</v>
      </c>
      <c r="P24" s="97">
        <v>75</v>
      </c>
      <c r="Q24" s="97" t="s">
        <v>748</v>
      </c>
      <c r="R24" s="97" t="s">
        <v>446</v>
      </c>
      <c r="S24" s="97" t="s">
        <v>312</v>
      </c>
      <c r="T24" s="97" t="s">
        <v>159</v>
      </c>
      <c r="U24" s="97" t="s">
        <v>686</v>
      </c>
      <c r="V24" s="97" t="s">
        <v>25</v>
      </c>
      <c r="W24" s="97" t="s">
        <v>409</v>
      </c>
      <c r="X24" s="124" t="s">
        <v>25</v>
      </c>
      <c r="Y24" s="129" t="s">
        <v>475</v>
      </c>
      <c r="Z24" s="97" t="s">
        <v>71</v>
      </c>
      <c r="AA24" s="113" t="s">
        <v>224</v>
      </c>
      <c r="AC24" s="97" t="s">
        <v>668</v>
      </c>
      <c r="AD24" s="97" t="s">
        <v>25</v>
      </c>
      <c r="AE24" s="97" t="s">
        <v>371</v>
      </c>
      <c r="AF24" s="97">
        <v>850</v>
      </c>
    </row>
    <row r="25" spans="1:182" ht="24" customHeight="1">
      <c r="A25" s="28">
        <v>4.2</v>
      </c>
      <c r="B25" s="60" t="s">
        <v>26</v>
      </c>
      <c r="C25" s="112" t="s">
        <v>265</v>
      </c>
      <c r="D25" s="112" t="s">
        <v>576</v>
      </c>
      <c r="E25" s="97" t="s">
        <v>710</v>
      </c>
      <c r="F25" s="97" t="s">
        <v>216</v>
      </c>
      <c r="G25" s="97" t="s">
        <v>181</v>
      </c>
      <c r="H25" s="97" t="s">
        <v>137</v>
      </c>
      <c r="I25" s="97">
        <v>52</v>
      </c>
      <c r="J25" s="97" t="s">
        <v>96</v>
      </c>
      <c r="K25" s="97" t="s">
        <v>200</v>
      </c>
      <c r="L25" s="97" t="s">
        <v>648</v>
      </c>
      <c r="M25" s="97" t="s">
        <v>298</v>
      </c>
      <c r="N25" s="97" t="s">
        <v>118</v>
      </c>
      <c r="O25" s="97" t="s">
        <v>558</v>
      </c>
      <c r="P25" s="97">
        <v>74</v>
      </c>
      <c r="Q25" s="97" t="s">
        <v>749</v>
      </c>
      <c r="R25" s="97" t="s">
        <v>447</v>
      </c>
      <c r="S25" s="97" t="s">
        <v>313</v>
      </c>
      <c r="T25" s="97" t="s">
        <v>160</v>
      </c>
      <c r="U25" s="97">
        <v>52</v>
      </c>
      <c r="V25" s="97" t="s">
        <v>327</v>
      </c>
      <c r="W25" s="97" t="s">
        <v>410</v>
      </c>
      <c r="X25" s="124" t="s">
        <v>461</v>
      </c>
      <c r="Y25" s="129" t="s">
        <v>476</v>
      </c>
      <c r="Z25" s="97" t="s">
        <v>72</v>
      </c>
      <c r="AA25" s="113" t="s">
        <v>595</v>
      </c>
      <c r="AC25" s="97" t="s">
        <v>669</v>
      </c>
      <c r="AD25" s="97" t="s">
        <v>387</v>
      </c>
      <c r="AE25" s="97" t="s">
        <v>372</v>
      </c>
      <c r="AF25" s="97" t="s">
        <v>354</v>
      </c>
    </row>
    <row r="26" spans="1:182" ht="24" customHeight="1">
      <c r="A26" s="28">
        <v>4.3</v>
      </c>
      <c r="B26" s="58" t="s">
        <v>27</v>
      </c>
      <c r="C26" s="112" t="s">
        <v>525</v>
      </c>
      <c r="D26" s="112" t="s">
        <v>577</v>
      </c>
      <c r="E26" s="97" t="s">
        <v>711</v>
      </c>
      <c r="F26" s="97" t="s">
        <v>217</v>
      </c>
      <c r="G26" s="97" t="s">
        <v>182</v>
      </c>
      <c r="H26" s="97" t="s">
        <v>138</v>
      </c>
      <c r="I26" s="97">
        <v>51.53</v>
      </c>
      <c r="J26" s="97" t="s">
        <v>97</v>
      </c>
      <c r="K26" s="97" t="s">
        <v>201</v>
      </c>
      <c r="L26" s="97" t="s">
        <v>649</v>
      </c>
      <c r="M26" s="97" t="s">
        <v>299</v>
      </c>
      <c r="N26" s="97" t="s">
        <v>119</v>
      </c>
      <c r="O26" s="97" t="s">
        <v>617</v>
      </c>
      <c r="P26" s="97" t="s">
        <v>425</v>
      </c>
      <c r="Q26" s="97" t="s">
        <v>750</v>
      </c>
      <c r="R26" s="97" t="s">
        <v>448</v>
      </c>
      <c r="S26" s="97" t="s">
        <v>314</v>
      </c>
      <c r="T26" s="97" t="s">
        <v>161</v>
      </c>
      <c r="U26" s="97">
        <v>51</v>
      </c>
      <c r="V26" s="97" t="s">
        <v>328</v>
      </c>
      <c r="W26" s="97" t="s">
        <v>411</v>
      </c>
      <c r="X26" s="124" t="s">
        <v>336</v>
      </c>
      <c r="Y26" s="129" t="s">
        <v>477</v>
      </c>
      <c r="Z26" s="97" t="s">
        <v>73</v>
      </c>
      <c r="AA26" s="113" t="s">
        <v>596</v>
      </c>
      <c r="AC26" s="97" t="s">
        <v>670</v>
      </c>
      <c r="AD26" s="97" t="s">
        <v>388</v>
      </c>
      <c r="AE26" s="97" t="s">
        <v>373</v>
      </c>
      <c r="AF26" s="97" t="s">
        <v>355</v>
      </c>
    </row>
    <row r="27" spans="1:182" ht="146.44999999999999" customHeight="1">
      <c r="A27" s="28">
        <v>4.4000000000000004</v>
      </c>
      <c r="B27" s="58" t="s">
        <v>28</v>
      </c>
      <c r="C27" s="112" t="s">
        <v>266</v>
      </c>
      <c r="D27" s="112" t="s">
        <v>183</v>
      </c>
      <c r="E27" s="97" t="s">
        <v>712</v>
      </c>
      <c r="F27" s="97" t="s">
        <v>281</v>
      </c>
      <c r="G27" s="97" t="s">
        <v>183</v>
      </c>
      <c r="H27" s="97" t="s">
        <v>139</v>
      </c>
      <c r="I27" s="97">
        <v>82.83</v>
      </c>
      <c r="J27" s="97" t="s">
        <v>98</v>
      </c>
      <c r="K27" s="97" t="s">
        <v>202</v>
      </c>
      <c r="L27" s="97" t="s">
        <v>650</v>
      </c>
      <c r="M27" s="97" t="s">
        <v>300</v>
      </c>
      <c r="N27" s="97" t="s">
        <v>120</v>
      </c>
      <c r="O27" s="97" t="s">
        <v>618</v>
      </c>
      <c r="P27" s="97" t="s">
        <v>426</v>
      </c>
      <c r="Q27" s="97" t="s">
        <v>751</v>
      </c>
      <c r="R27" s="97" t="s">
        <v>449</v>
      </c>
      <c r="S27" s="97" t="s">
        <v>315</v>
      </c>
      <c r="T27" s="97" t="s">
        <v>162</v>
      </c>
      <c r="U27" s="97" t="s">
        <v>687</v>
      </c>
      <c r="V27" s="97" t="s">
        <v>329</v>
      </c>
      <c r="W27" s="97" t="s">
        <v>218</v>
      </c>
      <c r="X27" s="124" t="s">
        <v>337</v>
      </c>
      <c r="Y27" s="129" t="s">
        <v>478</v>
      </c>
      <c r="Z27" s="97" t="s">
        <v>74</v>
      </c>
      <c r="AA27" s="113" t="s">
        <v>597</v>
      </c>
      <c r="AC27" s="97" t="s">
        <v>671</v>
      </c>
      <c r="AD27" s="97" t="s">
        <v>389</v>
      </c>
      <c r="AE27" s="97" t="s">
        <v>374</v>
      </c>
      <c r="AF27" s="97" t="s">
        <v>356</v>
      </c>
    </row>
    <row r="28" spans="1:182" ht="82.5" customHeight="1">
      <c r="A28" s="28">
        <v>4.5</v>
      </c>
      <c r="B28" s="58" t="s">
        <v>29</v>
      </c>
      <c r="C28" s="112" t="s">
        <v>526</v>
      </c>
      <c r="D28" s="112" t="s">
        <v>578</v>
      </c>
      <c r="E28" s="97" t="s">
        <v>713</v>
      </c>
      <c r="F28" s="97" t="s">
        <v>282</v>
      </c>
      <c r="G28" s="97" t="s">
        <v>184</v>
      </c>
      <c r="H28" s="97" t="s">
        <v>140</v>
      </c>
      <c r="I28" s="97">
        <v>7.81</v>
      </c>
      <c r="J28" s="97" t="s">
        <v>99</v>
      </c>
      <c r="K28" s="97" t="s">
        <v>203</v>
      </c>
      <c r="L28" s="97" t="s">
        <v>651</v>
      </c>
      <c r="M28" s="97" t="s">
        <v>301</v>
      </c>
      <c r="N28" s="97" t="s">
        <v>225</v>
      </c>
      <c r="O28" s="97" t="s">
        <v>619</v>
      </c>
      <c r="P28" s="97" t="s">
        <v>427</v>
      </c>
      <c r="Q28" s="97" t="s">
        <v>752</v>
      </c>
      <c r="R28" s="97" t="s">
        <v>450</v>
      </c>
      <c r="S28" s="97" t="s">
        <v>316</v>
      </c>
      <c r="T28" s="97" t="s">
        <v>163</v>
      </c>
      <c r="U28" s="97" t="s">
        <v>688</v>
      </c>
      <c r="V28" s="97" t="s">
        <v>330</v>
      </c>
      <c r="W28" s="97" t="s">
        <v>412</v>
      </c>
      <c r="X28" s="126" t="s">
        <v>462</v>
      </c>
      <c r="Y28" s="130" t="s">
        <v>479</v>
      </c>
      <c r="Z28" s="97" t="s">
        <v>75</v>
      </c>
      <c r="AA28" s="68" t="s">
        <v>598</v>
      </c>
      <c r="AC28" s="97" t="s">
        <v>672</v>
      </c>
      <c r="AD28" s="97" t="s">
        <v>390</v>
      </c>
      <c r="AE28" s="97" t="s">
        <v>375</v>
      </c>
      <c r="AF28" s="97" t="s">
        <v>357</v>
      </c>
    </row>
    <row r="29" spans="1:182" s="111" customFormat="1">
      <c r="A29" s="35">
        <v>5</v>
      </c>
      <c r="B29" s="62" t="s">
        <v>30</v>
      </c>
      <c r="C29" s="115"/>
      <c r="D29" s="114"/>
      <c r="E29" s="62"/>
      <c r="F29" s="63"/>
      <c r="G29" s="63"/>
      <c r="H29" s="63"/>
      <c r="I29" s="63"/>
      <c r="J29" s="62"/>
      <c r="K29" s="63"/>
      <c r="L29" s="63"/>
      <c r="M29" s="63"/>
      <c r="N29" s="63"/>
      <c r="O29" s="63"/>
      <c r="P29" s="63"/>
      <c r="Q29" s="63"/>
      <c r="R29" s="63"/>
      <c r="S29" s="63"/>
      <c r="T29" s="63"/>
      <c r="U29" s="63"/>
      <c r="V29" s="63"/>
      <c r="W29" s="63"/>
      <c r="X29" s="125" t="s">
        <v>463</v>
      </c>
      <c r="Y29" s="128"/>
      <c r="Z29" s="62"/>
      <c r="AA29" s="64"/>
      <c r="AB29" s="109"/>
      <c r="AC29" s="63"/>
      <c r="AD29" s="63"/>
      <c r="AE29" s="63"/>
      <c r="AF29" s="63"/>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c r="DB29" s="109"/>
      <c r="DC29" s="109"/>
      <c r="DD29" s="109"/>
      <c r="DE29" s="109"/>
      <c r="DF29" s="109"/>
      <c r="DG29" s="109"/>
      <c r="DH29" s="109"/>
      <c r="DI29" s="109"/>
      <c r="DJ29" s="109"/>
      <c r="DK29" s="109"/>
      <c r="DL29" s="109"/>
      <c r="DM29" s="109"/>
      <c r="DN29" s="109"/>
      <c r="DO29" s="109"/>
      <c r="DP29" s="109"/>
      <c r="DQ29" s="109"/>
      <c r="DR29" s="109"/>
      <c r="DS29" s="109"/>
      <c r="DT29" s="109"/>
      <c r="DU29" s="109"/>
      <c r="DV29" s="109"/>
      <c r="DW29" s="109"/>
      <c r="DX29" s="109"/>
      <c r="DY29" s="109"/>
      <c r="DZ29" s="109"/>
      <c r="EA29" s="109"/>
      <c r="EB29" s="109"/>
      <c r="EC29" s="109"/>
      <c r="ED29" s="109"/>
      <c r="EE29" s="109"/>
      <c r="EF29" s="109"/>
      <c r="EG29" s="109"/>
      <c r="EH29" s="109"/>
      <c r="EI29" s="109"/>
      <c r="EJ29" s="109"/>
      <c r="EK29" s="109"/>
      <c r="EL29" s="109"/>
      <c r="EM29" s="109"/>
      <c r="EN29" s="109"/>
      <c r="EO29" s="109"/>
      <c r="EP29" s="109"/>
      <c r="EQ29" s="109"/>
      <c r="ER29" s="109"/>
      <c r="ES29" s="109"/>
      <c r="ET29" s="109"/>
      <c r="EU29" s="109"/>
      <c r="EV29" s="109"/>
      <c r="EW29" s="109"/>
      <c r="EX29" s="109"/>
      <c r="EY29" s="109"/>
      <c r="EZ29" s="109"/>
      <c r="FA29" s="109"/>
      <c r="FB29" s="109"/>
      <c r="FC29" s="109"/>
      <c r="FD29" s="109"/>
      <c r="FE29" s="109"/>
      <c r="FF29" s="109"/>
      <c r="FG29" s="109"/>
      <c r="FH29" s="109"/>
      <c r="FI29" s="109"/>
      <c r="FJ29" s="109"/>
      <c r="FK29" s="109"/>
      <c r="FL29" s="109"/>
      <c r="FM29" s="109"/>
      <c r="FN29" s="109"/>
      <c r="FO29" s="109"/>
      <c r="FP29" s="109"/>
      <c r="FQ29" s="109"/>
      <c r="FR29" s="109"/>
      <c r="FS29" s="109"/>
      <c r="FT29" s="109"/>
      <c r="FU29" s="109"/>
      <c r="FV29" s="109"/>
      <c r="FW29" s="109"/>
      <c r="FX29" s="109"/>
      <c r="FY29" s="109"/>
      <c r="FZ29" s="109"/>
    </row>
    <row r="30" spans="1:182" ht="61.15" customHeight="1">
      <c r="A30" s="28">
        <v>5.0999999999999996</v>
      </c>
      <c r="B30" s="60" t="s">
        <v>31</v>
      </c>
      <c r="C30" s="113" t="s">
        <v>267</v>
      </c>
      <c r="D30" s="112" t="s">
        <v>579</v>
      </c>
      <c r="E30" s="97" t="s">
        <v>714</v>
      </c>
      <c r="F30" s="97" t="s">
        <v>283</v>
      </c>
      <c r="G30" s="97">
        <v>432</v>
      </c>
      <c r="H30" s="97" t="s">
        <v>141</v>
      </c>
      <c r="I30" s="97">
        <v>431.43200000000002</v>
      </c>
      <c r="J30" s="97" t="s">
        <v>100</v>
      </c>
      <c r="K30" s="97" t="s">
        <v>204</v>
      </c>
      <c r="L30" s="97" t="s">
        <v>637</v>
      </c>
      <c r="M30" s="97" t="s">
        <v>289</v>
      </c>
      <c r="N30" s="97" t="s">
        <v>121</v>
      </c>
      <c r="O30" s="97" t="s">
        <v>558</v>
      </c>
      <c r="P30" s="122" t="s">
        <v>428</v>
      </c>
      <c r="Q30" s="97" t="s">
        <v>753</v>
      </c>
      <c r="R30" s="97" t="s">
        <v>451</v>
      </c>
      <c r="S30" s="97" t="s">
        <v>317</v>
      </c>
      <c r="T30" s="97">
        <v>576</v>
      </c>
      <c r="U30" s="97" t="s">
        <v>689</v>
      </c>
      <c r="V30" s="97" t="s">
        <v>331</v>
      </c>
      <c r="W30" s="97" t="s">
        <v>413</v>
      </c>
      <c r="X30" s="124" t="s">
        <v>248</v>
      </c>
      <c r="Y30" s="129" t="s">
        <v>480</v>
      </c>
      <c r="Z30" s="97" t="s">
        <v>76</v>
      </c>
      <c r="AA30" s="113" t="s">
        <v>599</v>
      </c>
      <c r="AC30" s="97" t="s">
        <v>673</v>
      </c>
      <c r="AD30" s="97" t="s">
        <v>248</v>
      </c>
      <c r="AE30" s="97" t="s">
        <v>376</v>
      </c>
      <c r="AF30" s="97" t="s">
        <v>358</v>
      </c>
    </row>
    <row r="31" spans="1:182" ht="44.45" customHeight="1">
      <c r="A31" s="28">
        <v>5.2</v>
      </c>
      <c r="B31" s="60" t="s">
        <v>32</v>
      </c>
      <c r="C31" s="112" t="s">
        <v>268</v>
      </c>
      <c r="D31" s="112" t="s">
        <v>580</v>
      </c>
      <c r="E31" s="97" t="s">
        <v>715</v>
      </c>
      <c r="F31" s="97" t="s">
        <v>284</v>
      </c>
      <c r="G31" s="97" t="s">
        <v>185</v>
      </c>
      <c r="H31" s="97" t="s">
        <v>142</v>
      </c>
      <c r="I31" s="97">
        <v>439</v>
      </c>
      <c r="J31" s="97" t="s">
        <v>101</v>
      </c>
      <c r="K31" s="97" t="s">
        <v>205</v>
      </c>
      <c r="L31" s="97" t="s">
        <v>652</v>
      </c>
      <c r="M31" s="97" t="s">
        <v>302</v>
      </c>
      <c r="N31" s="97" t="s">
        <v>122</v>
      </c>
      <c r="O31" s="97" t="s">
        <v>620</v>
      </c>
      <c r="P31" s="123" t="s">
        <v>429</v>
      </c>
      <c r="Q31" s="97" t="s">
        <v>754</v>
      </c>
      <c r="R31" s="97" t="s">
        <v>452</v>
      </c>
      <c r="S31" s="97" t="s">
        <v>318</v>
      </c>
      <c r="T31" s="97" t="s">
        <v>164</v>
      </c>
      <c r="U31" s="97" t="s">
        <v>690</v>
      </c>
      <c r="V31" s="97" t="s">
        <v>332</v>
      </c>
      <c r="W31" s="108" t="s">
        <v>414</v>
      </c>
      <c r="X31" s="124" t="s">
        <v>248</v>
      </c>
      <c r="Y31" s="129" t="s">
        <v>481</v>
      </c>
      <c r="Z31" s="97" t="s">
        <v>77</v>
      </c>
      <c r="AA31" s="113" t="s">
        <v>600</v>
      </c>
      <c r="AC31" s="97" t="s">
        <v>674</v>
      </c>
      <c r="AD31" s="97" t="s">
        <v>391</v>
      </c>
      <c r="AE31" s="97" t="s">
        <v>248</v>
      </c>
      <c r="AF31" s="97" t="s">
        <v>248</v>
      </c>
    </row>
    <row r="32" spans="1:182" s="119" customFormat="1" ht="203.45" customHeight="1">
      <c r="A32" s="118"/>
      <c r="B32" s="118"/>
      <c r="C32" s="104" t="s">
        <v>237</v>
      </c>
      <c r="D32" s="118"/>
      <c r="E32" s="118"/>
      <c r="F32" s="104"/>
      <c r="G32" s="104"/>
      <c r="H32" s="104"/>
      <c r="I32" s="104"/>
      <c r="J32" s="118"/>
      <c r="K32" s="104" t="s">
        <v>654</v>
      </c>
      <c r="L32" s="104" t="s">
        <v>653</v>
      </c>
      <c r="M32" s="104" t="s">
        <v>394</v>
      </c>
      <c r="N32" s="104"/>
      <c r="O32" s="104" t="s">
        <v>621</v>
      </c>
      <c r="P32" s="104" t="s">
        <v>399</v>
      </c>
      <c r="Q32" s="104"/>
      <c r="R32" s="104"/>
      <c r="S32" s="104"/>
      <c r="T32" s="118"/>
      <c r="U32" s="118"/>
      <c r="V32" s="104" t="s">
        <v>393</v>
      </c>
      <c r="W32" s="118"/>
      <c r="X32" s="106" t="s">
        <v>484</v>
      </c>
      <c r="Y32" s="106"/>
      <c r="Z32" s="118"/>
      <c r="AA32" s="105"/>
      <c r="AB32" s="118"/>
      <c r="AC32" s="104"/>
      <c r="AD32" s="104" t="s">
        <v>396</v>
      </c>
      <c r="AE32" s="104"/>
      <c r="AF32" s="104"/>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c r="CQ32" s="109"/>
      <c r="CR32" s="109"/>
      <c r="CS32" s="109"/>
      <c r="CT32" s="109"/>
      <c r="CU32" s="109"/>
      <c r="CV32" s="109"/>
      <c r="CW32" s="109"/>
      <c r="CX32" s="109"/>
      <c r="CY32" s="109"/>
      <c r="CZ32" s="109"/>
      <c r="DA32" s="109"/>
      <c r="DB32" s="109"/>
      <c r="DC32" s="109"/>
      <c r="DD32" s="109"/>
      <c r="DE32" s="109"/>
      <c r="DF32" s="109"/>
      <c r="DG32" s="109"/>
      <c r="DH32" s="109"/>
      <c r="DI32" s="109"/>
      <c r="DJ32" s="109"/>
      <c r="DK32" s="109"/>
      <c r="DL32" s="109"/>
      <c r="DM32" s="109"/>
      <c r="DN32" s="109"/>
      <c r="DO32" s="109"/>
      <c r="DP32" s="109"/>
      <c r="DQ32" s="109"/>
      <c r="DR32" s="109"/>
      <c r="DS32" s="109"/>
      <c r="DT32" s="109"/>
      <c r="DU32" s="109"/>
      <c r="DV32" s="109"/>
      <c r="DW32" s="109"/>
      <c r="DX32" s="109"/>
      <c r="DY32" s="109"/>
      <c r="DZ32" s="109"/>
      <c r="EA32" s="109"/>
      <c r="EB32" s="109"/>
      <c r="EC32" s="109"/>
      <c r="ED32" s="109"/>
      <c r="EE32" s="109"/>
      <c r="EF32" s="109"/>
      <c r="EG32" s="109"/>
      <c r="EH32" s="109"/>
      <c r="EI32" s="109"/>
      <c r="EJ32" s="109"/>
      <c r="EK32" s="109"/>
      <c r="EL32" s="109"/>
      <c r="EM32" s="109"/>
      <c r="EN32" s="109"/>
      <c r="EO32" s="109"/>
      <c r="EP32" s="109"/>
      <c r="EQ32" s="109"/>
      <c r="ER32" s="109"/>
      <c r="ES32" s="109"/>
      <c r="ET32" s="109"/>
      <c r="EU32" s="109"/>
      <c r="EV32" s="109"/>
      <c r="EW32" s="109"/>
      <c r="EX32" s="109"/>
      <c r="EY32" s="109"/>
      <c r="EZ32" s="109"/>
      <c r="FA32" s="109"/>
      <c r="FB32" s="109"/>
      <c r="FC32" s="109"/>
      <c r="FD32" s="109"/>
      <c r="FE32" s="109"/>
      <c r="FF32" s="109"/>
      <c r="FG32" s="109"/>
      <c r="FH32" s="109"/>
      <c r="FI32" s="109"/>
      <c r="FJ32" s="109"/>
      <c r="FK32" s="109"/>
      <c r="FL32" s="109"/>
      <c r="FM32" s="109"/>
      <c r="FN32" s="109"/>
      <c r="FO32" s="109"/>
      <c r="FP32" s="109"/>
      <c r="FQ32" s="109"/>
      <c r="FR32" s="109"/>
      <c r="FS32" s="109"/>
      <c r="FT32" s="109"/>
      <c r="FU32" s="109"/>
      <c r="FV32" s="109"/>
      <c r="FW32" s="109"/>
      <c r="FX32" s="109"/>
      <c r="FY32" s="109"/>
      <c r="FZ32" s="109"/>
    </row>
    <row r="33" spans="6:32">
      <c r="L33" s="226"/>
      <c r="S33" s="97"/>
      <c r="W33" s="34"/>
      <c r="AC33" s="34"/>
      <c r="AD33" s="34"/>
    </row>
    <row r="34" spans="6:32">
      <c r="F34" s="34"/>
      <c r="G34" s="34"/>
      <c r="H34" s="34"/>
      <c r="I34" s="34"/>
      <c r="K34" s="34"/>
      <c r="L34" s="34"/>
      <c r="N34" s="34"/>
      <c r="O34" s="34"/>
      <c r="Q34" s="34"/>
      <c r="R34" s="34"/>
      <c r="S34" s="34"/>
      <c r="T34" s="34"/>
      <c r="U34" s="34"/>
      <c r="V34" s="109" t="s">
        <v>392</v>
      </c>
      <c r="Y34" s="98"/>
      <c r="AA34" s="98"/>
      <c r="AE34" s="34"/>
      <c r="AF34" s="34"/>
    </row>
    <row r="35" spans="6:32">
      <c r="F35" s="34"/>
      <c r="G35" s="34"/>
      <c r="H35" s="34"/>
      <c r="I35" s="34"/>
      <c r="K35" s="34"/>
      <c r="L35" s="34"/>
      <c r="M35" s="34"/>
      <c r="N35" s="34"/>
      <c r="O35" s="34"/>
      <c r="P35" s="34"/>
      <c r="Q35" s="34"/>
      <c r="R35" s="34"/>
      <c r="S35" s="34"/>
      <c r="T35" s="34"/>
      <c r="U35" s="34"/>
      <c r="V35" s="34"/>
      <c r="W35" s="34"/>
      <c r="X35" s="98"/>
      <c r="Y35" s="34"/>
      <c r="AA35" s="34"/>
      <c r="AC35" s="34"/>
      <c r="AD35" s="34"/>
      <c r="AE35" s="34"/>
      <c r="AF35" s="34"/>
    </row>
    <row r="36" spans="6:32">
      <c r="F36" s="34"/>
      <c r="G36" s="34"/>
      <c r="H36" s="34"/>
      <c r="I36" s="34"/>
      <c r="K36" s="34"/>
      <c r="M36" s="34"/>
      <c r="N36" s="34"/>
      <c r="O36" s="34"/>
      <c r="P36" s="34"/>
      <c r="Q36" s="34"/>
      <c r="R36" s="34"/>
      <c r="S36" s="34"/>
      <c r="T36" s="34"/>
      <c r="U36" s="34"/>
      <c r="V36" s="34"/>
      <c r="W36" s="34"/>
      <c r="X36" s="34"/>
      <c r="Y36" s="34"/>
      <c r="AA36" s="34"/>
      <c r="AC36" s="34"/>
      <c r="AD36" s="34"/>
      <c r="AE36" s="34"/>
      <c r="AF36" s="34"/>
    </row>
    <row r="37" spans="6:32">
      <c r="F37" s="34"/>
      <c r="G37" s="34"/>
      <c r="H37" s="34"/>
      <c r="I37" s="34"/>
      <c r="K37" s="34"/>
      <c r="M37" s="34"/>
      <c r="N37" s="34"/>
      <c r="O37" s="34"/>
      <c r="P37" s="34"/>
      <c r="Q37" s="34"/>
      <c r="R37" s="34"/>
      <c r="S37" s="34"/>
      <c r="T37" s="34"/>
      <c r="U37" s="34"/>
      <c r="V37" s="34"/>
      <c r="W37" s="34"/>
      <c r="X37" s="34"/>
      <c r="Y37" s="34"/>
      <c r="AA37" s="34"/>
      <c r="AC37" s="34"/>
      <c r="AD37" s="34"/>
      <c r="AE37" s="34"/>
      <c r="AF37" s="34"/>
    </row>
    <row r="38" spans="6:32">
      <c r="F38" s="34"/>
      <c r="G38" s="34"/>
      <c r="H38" s="34"/>
      <c r="I38" s="34"/>
      <c r="K38" s="34"/>
      <c r="M38" s="34"/>
      <c r="N38" s="34"/>
      <c r="O38" s="34"/>
      <c r="P38" s="34"/>
      <c r="Q38" s="34"/>
      <c r="R38" s="34"/>
      <c r="S38" s="34"/>
      <c r="T38" s="34"/>
      <c r="U38" s="34"/>
      <c r="V38" s="34"/>
      <c r="W38" s="34"/>
      <c r="X38" s="34"/>
      <c r="Y38" s="34"/>
      <c r="AA38" s="34"/>
      <c r="AC38" s="34"/>
      <c r="AD38" s="34"/>
      <c r="AE38" s="34"/>
      <c r="AF38" s="34"/>
    </row>
    <row r="39" spans="6:32">
      <c r="F39" s="34"/>
      <c r="G39" s="34"/>
      <c r="H39" s="34"/>
      <c r="I39" s="34"/>
      <c r="K39" s="34"/>
      <c r="M39" s="34"/>
      <c r="N39" s="34"/>
      <c r="O39" s="34"/>
      <c r="P39" s="34"/>
      <c r="Q39" s="34"/>
      <c r="R39" s="34"/>
      <c r="S39" s="34"/>
      <c r="T39" s="34"/>
      <c r="U39" s="34"/>
      <c r="V39" s="34"/>
      <c r="W39" s="34"/>
      <c r="X39" s="34"/>
      <c r="Y39" s="34"/>
      <c r="AA39" s="34"/>
      <c r="AC39" s="34"/>
      <c r="AD39" s="34"/>
      <c r="AE39" s="34"/>
      <c r="AF39" s="34"/>
    </row>
    <row r="40" spans="6:32">
      <c r="F40" s="34"/>
      <c r="G40" s="34"/>
      <c r="H40" s="34"/>
      <c r="I40" s="34"/>
      <c r="K40" s="34"/>
      <c r="M40" s="34"/>
      <c r="N40" s="34"/>
      <c r="O40" s="34"/>
      <c r="P40" s="34"/>
      <c r="Q40" s="34"/>
      <c r="R40" s="34"/>
      <c r="S40" s="34"/>
      <c r="T40" s="34"/>
      <c r="U40" s="34"/>
      <c r="V40" s="34"/>
      <c r="W40" s="34"/>
      <c r="X40" s="34"/>
      <c r="Y40" s="34"/>
      <c r="AA40" s="34"/>
      <c r="AC40" s="34"/>
      <c r="AD40" s="34"/>
      <c r="AE40" s="34"/>
      <c r="AF40" s="34"/>
    </row>
    <row r="41" spans="6:32">
      <c r="F41" s="34"/>
      <c r="G41" s="34"/>
      <c r="H41" s="34"/>
      <c r="I41" s="34"/>
      <c r="K41" s="34"/>
      <c r="M41" s="34"/>
      <c r="N41" s="34"/>
      <c r="O41" s="34"/>
      <c r="P41" s="34"/>
      <c r="Q41" s="34"/>
      <c r="R41" s="34"/>
      <c r="S41" s="34"/>
      <c r="T41" s="34"/>
      <c r="U41" s="34"/>
      <c r="V41" s="34"/>
      <c r="W41" s="34"/>
      <c r="X41" s="34"/>
      <c r="Y41" s="34"/>
      <c r="AA41" s="34"/>
      <c r="AC41" s="34"/>
      <c r="AD41" s="34"/>
      <c r="AE41" s="34"/>
      <c r="AF41" s="34"/>
    </row>
    <row r="42" spans="6:32">
      <c r="F42" s="34"/>
      <c r="G42" s="34"/>
      <c r="H42" s="34"/>
      <c r="I42" s="34"/>
      <c r="K42" s="34"/>
      <c r="M42" s="34"/>
      <c r="N42" s="34"/>
      <c r="O42" s="34"/>
      <c r="P42" s="34"/>
      <c r="Q42" s="34"/>
      <c r="R42" s="34"/>
      <c r="S42" s="34"/>
      <c r="T42" s="34"/>
      <c r="U42" s="34"/>
      <c r="V42" s="34"/>
      <c r="W42" s="34"/>
      <c r="X42" s="34"/>
      <c r="Y42" s="34"/>
      <c r="AA42" s="34"/>
      <c r="AC42" s="34"/>
      <c r="AD42" s="34"/>
      <c r="AE42" s="34"/>
      <c r="AF42" s="34"/>
    </row>
    <row r="43" spans="6:32">
      <c r="F43" s="34"/>
      <c r="G43" s="34"/>
      <c r="H43" s="34"/>
      <c r="I43" s="34"/>
      <c r="K43" s="34"/>
      <c r="M43" s="34"/>
      <c r="N43" s="34"/>
      <c r="O43" s="34"/>
      <c r="P43" s="34"/>
      <c r="Q43" s="34"/>
      <c r="R43" s="34"/>
      <c r="S43" s="34"/>
      <c r="T43" s="34"/>
      <c r="U43" s="34"/>
      <c r="V43" s="34"/>
      <c r="W43" s="34"/>
      <c r="X43" s="34"/>
      <c r="Y43" s="34"/>
      <c r="AA43" s="34"/>
      <c r="AC43" s="34"/>
      <c r="AD43" s="34"/>
      <c r="AE43" s="34"/>
      <c r="AF43" s="34"/>
    </row>
    <row r="44" spans="6:32">
      <c r="F44" s="34"/>
      <c r="G44" s="34"/>
      <c r="H44" s="34"/>
      <c r="I44" s="34"/>
      <c r="K44" s="34"/>
      <c r="M44" s="34"/>
      <c r="N44" s="34"/>
      <c r="O44" s="34"/>
      <c r="P44" s="34"/>
      <c r="Q44" s="34"/>
      <c r="R44" s="34"/>
      <c r="S44" s="34"/>
      <c r="T44" s="34"/>
      <c r="U44" s="34"/>
      <c r="V44" s="34"/>
      <c r="W44" s="34"/>
      <c r="X44" s="34"/>
      <c r="Y44" s="34"/>
      <c r="AA44" s="34"/>
      <c r="AC44" s="34"/>
      <c r="AD44" s="34"/>
      <c r="AE44" s="34"/>
      <c r="AF44" s="34"/>
    </row>
    <row r="45" spans="6:32">
      <c r="F45" s="34"/>
      <c r="G45" s="34"/>
      <c r="H45" s="34"/>
      <c r="I45" s="34"/>
      <c r="K45" s="34"/>
      <c r="M45" s="34"/>
      <c r="N45" s="34"/>
      <c r="O45" s="34"/>
      <c r="P45" s="34"/>
      <c r="Q45" s="34"/>
      <c r="R45" s="34"/>
      <c r="S45" s="34"/>
      <c r="T45" s="34"/>
      <c r="U45" s="34"/>
      <c r="V45" s="34"/>
      <c r="W45" s="34"/>
      <c r="X45" s="34"/>
      <c r="Y45" s="34"/>
      <c r="AA45" s="34"/>
      <c r="AC45" s="34"/>
      <c r="AD45" s="34"/>
      <c r="AE45" s="34"/>
      <c r="AF45" s="34"/>
    </row>
  </sheetData>
  <mergeCells count="7">
    <mergeCell ref="P13:P14"/>
    <mergeCell ref="V13:V14"/>
    <mergeCell ref="O6:O7"/>
    <mergeCell ref="O14:O15"/>
    <mergeCell ref="C13:C14"/>
    <mergeCell ref="F13:F14"/>
    <mergeCell ref="M13:M14"/>
  </mergeCells>
  <pageMargins left="0.70866141732282995" right="0.70866141732282995" top="0.74803149606299002" bottom="0.74803149606299002" header="0.31496062992126" footer="0.31496062992126"/>
  <pageSetup paperSize="9" scale="25" fitToWidth="4" orientation="landscape" r:id="rId1"/>
  <headerFooter>
    <oddFooter>&amp;C_x000D_&amp;1#&amp;"Aptos"&amp;10&amp;K0000FF Restricted Use - À usage restreint</oddFooter>
  </headerFooter>
  <ignoredErrors>
    <ignoredError sqref="D21 AA4 AA6:AA8 AA11:AA12 AA15:AA16 AA20:AA2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25ED2-40DB-4161-8B9B-AE8AD7899E12}">
  <dimension ref="A1:IM142"/>
  <sheetViews>
    <sheetView topLeftCell="A78" workbookViewId="0">
      <selection activeCell="K116" sqref="K116"/>
    </sheetView>
  </sheetViews>
  <sheetFormatPr defaultRowHeight="11.25"/>
  <cols>
    <col min="1" max="1" width="9.140625" style="163" customWidth="1"/>
    <col min="2" max="2" width="48.7109375" style="161" customWidth="1"/>
    <col min="3" max="7" width="10.5703125" style="87" customWidth="1"/>
    <col min="8" max="8" width="10.5703125" style="134" customWidth="1"/>
    <col min="9" max="14" width="10.5703125" style="87" customWidth="1"/>
    <col min="15" max="15" width="10.5703125" style="135" customWidth="1"/>
    <col min="16" max="20" width="10.5703125" style="86" customWidth="1"/>
    <col min="21" max="21" width="10.5703125" style="87" customWidth="1"/>
    <col min="22" max="25" width="10.5703125" style="86" customWidth="1"/>
    <col min="26" max="31" width="10.5703125" style="87" customWidth="1"/>
    <col min="32" max="32" width="10.5703125" style="86" customWidth="1"/>
    <col min="33" max="33" width="10.5703125" style="87" customWidth="1"/>
    <col min="34" max="34" width="10.5703125" style="93" customWidth="1"/>
    <col min="35" max="36" width="10.5703125" style="86" customWidth="1"/>
    <col min="37" max="256" width="9.140625" style="86"/>
    <col min="257" max="257" width="5.42578125" style="86" customWidth="1"/>
    <col min="258" max="258" width="31.140625" style="86" customWidth="1"/>
    <col min="259" max="275" width="7.5703125" style="86" customWidth="1"/>
    <col min="276" max="276" width="11" style="86" customWidth="1"/>
    <col min="277" max="279" width="7.5703125" style="86" customWidth="1"/>
    <col min="280" max="281" width="10.7109375" style="86" customWidth="1"/>
    <col min="282" max="282" width="11" style="86" customWidth="1"/>
    <col min="283" max="285" width="10.7109375" style="86" customWidth="1"/>
    <col min="286" max="286" width="9.140625" style="86"/>
    <col min="287" max="288" width="7.5703125" style="86" customWidth="1"/>
    <col min="289" max="512" width="9.140625" style="86"/>
    <col min="513" max="513" width="5.42578125" style="86" customWidth="1"/>
    <col min="514" max="514" width="31.140625" style="86" customWidth="1"/>
    <col min="515" max="531" width="7.5703125" style="86" customWidth="1"/>
    <col min="532" max="532" width="11" style="86" customWidth="1"/>
    <col min="533" max="535" width="7.5703125" style="86" customWidth="1"/>
    <col min="536" max="537" width="10.7109375" style="86" customWidth="1"/>
    <col min="538" max="538" width="11" style="86" customWidth="1"/>
    <col min="539" max="541" width="10.7109375" style="86" customWidth="1"/>
    <col min="542" max="542" width="9.140625" style="86"/>
    <col min="543" max="544" width="7.5703125" style="86" customWidth="1"/>
    <col min="545" max="768" width="9.140625" style="86"/>
    <col min="769" max="769" width="5.42578125" style="86" customWidth="1"/>
    <col min="770" max="770" width="31.140625" style="86" customWidth="1"/>
    <col min="771" max="787" width="7.5703125" style="86" customWidth="1"/>
    <col min="788" max="788" width="11" style="86" customWidth="1"/>
    <col min="789" max="791" width="7.5703125" style="86" customWidth="1"/>
    <col min="792" max="793" width="10.7109375" style="86" customWidth="1"/>
    <col min="794" max="794" width="11" style="86" customWidth="1"/>
    <col min="795" max="797" width="10.7109375" style="86" customWidth="1"/>
    <col min="798" max="798" width="9.140625" style="86"/>
    <col min="799" max="800" width="7.5703125" style="86" customWidth="1"/>
    <col min="801" max="1024" width="9.140625" style="86"/>
    <col min="1025" max="1025" width="5.42578125" style="86" customWidth="1"/>
    <col min="1026" max="1026" width="31.140625" style="86" customWidth="1"/>
    <col min="1027" max="1043" width="7.5703125" style="86" customWidth="1"/>
    <col min="1044" max="1044" width="11" style="86" customWidth="1"/>
    <col min="1045" max="1047" width="7.5703125" style="86" customWidth="1"/>
    <col min="1048" max="1049" width="10.7109375" style="86" customWidth="1"/>
    <col min="1050" max="1050" width="11" style="86" customWidth="1"/>
    <col min="1051" max="1053" width="10.7109375" style="86" customWidth="1"/>
    <col min="1054" max="1054" width="9.140625" style="86"/>
    <col min="1055" max="1056" width="7.5703125" style="86" customWidth="1"/>
    <col min="1057" max="1280" width="9.140625" style="86"/>
    <col min="1281" max="1281" width="5.42578125" style="86" customWidth="1"/>
    <col min="1282" max="1282" width="31.140625" style="86" customWidth="1"/>
    <col min="1283" max="1299" width="7.5703125" style="86" customWidth="1"/>
    <col min="1300" max="1300" width="11" style="86" customWidth="1"/>
    <col min="1301" max="1303" width="7.5703125" style="86" customWidth="1"/>
    <col min="1304" max="1305" width="10.7109375" style="86" customWidth="1"/>
    <col min="1306" max="1306" width="11" style="86" customWidth="1"/>
    <col min="1307" max="1309" width="10.7109375" style="86" customWidth="1"/>
    <col min="1310" max="1310" width="9.140625" style="86"/>
    <col min="1311" max="1312" width="7.5703125" style="86" customWidth="1"/>
    <col min="1313" max="1536" width="9.140625" style="86"/>
    <col min="1537" max="1537" width="5.42578125" style="86" customWidth="1"/>
    <col min="1538" max="1538" width="31.140625" style="86" customWidth="1"/>
    <col min="1539" max="1555" width="7.5703125" style="86" customWidth="1"/>
    <col min="1556" max="1556" width="11" style="86" customWidth="1"/>
    <col min="1557" max="1559" width="7.5703125" style="86" customWidth="1"/>
    <col min="1560" max="1561" width="10.7109375" style="86" customWidth="1"/>
    <col min="1562" max="1562" width="11" style="86" customWidth="1"/>
    <col min="1563" max="1565" width="10.7109375" style="86" customWidth="1"/>
    <col min="1566" max="1566" width="9.140625" style="86"/>
    <col min="1567" max="1568" width="7.5703125" style="86" customWidth="1"/>
    <col min="1569" max="1792" width="9.140625" style="86"/>
    <col min="1793" max="1793" width="5.42578125" style="86" customWidth="1"/>
    <col min="1794" max="1794" width="31.140625" style="86" customWidth="1"/>
    <col min="1795" max="1811" width="7.5703125" style="86" customWidth="1"/>
    <col min="1812" max="1812" width="11" style="86" customWidth="1"/>
    <col min="1813" max="1815" width="7.5703125" style="86" customWidth="1"/>
    <col min="1816" max="1817" width="10.7109375" style="86" customWidth="1"/>
    <col min="1818" max="1818" width="11" style="86" customWidth="1"/>
    <col min="1819" max="1821" width="10.7109375" style="86" customWidth="1"/>
    <col min="1822" max="1822" width="9.140625" style="86"/>
    <col min="1823" max="1824" width="7.5703125" style="86" customWidth="1"/>
    <col min="1825" max="2048" width="9.140625" style="86"/>
    <col min="2049" max="2049" width="5.42578125" style="86" customWidth="1"/>
    <col min="2050" max="2050" width="31.140625" style="86" customWidth="1"/>
    <col min="2051" max="2067" width="7.5703125" style="86" customWidth="1"/>
    <col min="2068" max="2068" width="11" style="86" customWidth="1"/>
    <col min="2069" max="2071" width="7.5703125" style="86" customWidth="1"/>
    <col min="2072" max="2073" width="10.7109375" style="86" customWidth="1"/>
    <col min="2074" max="2074" width="11" style="86" customWidth="1"/>
    <col min="2075" max="2077" width="10.7109375" style="86" customWidth="1"/>
    <col min="2078" max="2078" width="9.140625" style="86"/>
    <col min="2079" max="2080" width="7.5703125" style="86" customWidth="1"/>
    <col min="2081" max="2304" width="9.140625" style="86"/>
    <col min="2305" max="2305" width="5.42578125" style="86" customWidth="1"/>
    <col min="2306" max="2306" width="31.140625" style="86" customWidth="1"/>
    <col min="2307" max="2323" width="7.5703125" style="86" customWidth="1"/>
    <col min="2324" max="2324" width="11" style="86" customWidth="1"/>
    <col min="2325" max="2327" width="7.5703125" style="86" customWidth="1"/>
    <col min="2328" max="2329" width="10.7109375" style="86" customWidth="1"/>
    <col min="2330" max="2330" width="11" style="86" customWidth="1"/>
    <col min="2331" max="2333" width="10.7109375" style="86" customWidth="1"/>
    <col min="2334" max="2334" width="9.140625" style="86"/>
    <col min="2335" max="2336" width="7.5703125" style="86" customWidth="1"/>
    <col min="2337" max="2560" width="9.140625" style="86"/>
    <col min="2561" max="2561" width="5.42578125" style="86" customWidth="1"/>
    <col min="2562" max="2562" width="31.140625" style="86" customWidth="1"/>
    <col min="2563" max="2579" width="7.5703125" style="86" customWidth="1"/>
    <col min="2580" max="2580" width="11" style="86" customWidth="1"/>
    <col min="2581" max="2583" width="7.5703125" style="86" customWidth="1"/>
    <col min="2584" max="2585" width="10.7109375" style="86" customWidth="1"/>
    <col min="2586" max="2586" width="11" style="86" customWidth="1"/>
    <col min="2587" max="2589" width="10.7109375" style="86" customWidth="1"/>
    <col min="2590" max="2590" width="9.140625" style="86"/>
    <col min="2591" max="2592" width="7.5703125" style="86" customWidth="1"/>
    <col min="2593" max="2816" width="9.140625" style="86"/>
    <col min="2817" max="2817" width="5.42578125" style="86" customWidth="1"/>
    <col min="2818" max="2818" width="31.140625" style="86" customWidth="1"/>
    <col min="2819" max="2835" width="7.5703125" style="86" customWidth="1"/>
    <col min="2836" max="2836" width="11" style="86" customWidth="1"/>
    <col min="2837" max="2839" width="7.5703125" style="86" customWidth="1"/>
    <col min="2840" max="2841" width="10.7109375" style="86" customWidth="1"/>
    <col min="2842" max="2842" width="11" style="86" customWidth="1"/>
    <col min="2843" max="2845" width="10.7109375" style="86" customWidth="1"/>
    <col min="2846" max="2846" width="9.140625" style="86"/>
    <col min="2847" max="2848" width="7.5703125" style="86" customWidth="1"/>
    <col min="2849" max="3072" width="9.140625" style="86"/>
    <col min="3073" max="3073" width="5.42578125" style="86" customWidth="1"/>
    <col min="3074" max="3074" width="31.140625" style="86" customWidth="1"/>
    <col min="3075" max="3091" width="7.5703125" style="86" customWidth="1"/>
    <col min="3092" max="3092" width="11" style="86" customWidth="1"/>
    <col min="3093" max="3095" width="7.5703125" style="86" customWidth="1"/>
    <col min="3096" max="3097" width="10.7109375" style="86" customWidth="1"/>
    <col min="3098" max="3098" width="11" style="86" customWidth="1"/>
    <col min="3099" max="3101" width="10.7109375" style="86" customWidth="1"/>
    <col min="3102" max="3102" width="9.140625" style="86"/>
    <col min="3103" max="3104" width="7.5703125" style="86" customWidth="1"/>
    <col min="3105" max="3328" width="9.140625" style="86"/>
    <col min="3329" max="3329" width="5.42578125" style="86" customWidth="1"/>
    <col min="3330" max="3330" width="31.140625" style="86" customWidth="1"/>
    <col min="3331" max="3347" width="7.5703125" style="86" customWidth="1"/>
    <col min="3348" max="3348" width="11" style="86" customWidth="1"/>
    <col min="3349" max="3351" width="7.5703125" style="86" customWidth="1"/>
    <col min="3352" max="3353" width="10.7109375" style="86" customWidth="1"/>
    <col min="3354" max="3354" width="11" style="86" customWidth="1"/>
    <col min="3355" max="3357" width="10.7109375" style="86" customWidth="1"/>
    <col min="3358" max="3358" width="9.140625" style="86"/>
    <col min="3359" max="3360" width="7.5703125" style="86" customWidth="1"/>
    <col min="3361" max="3584" width="9.140625" style="86"/>
    <col min="3585" max="3585" width="5.42578125" style="86" customWidth="1"/>
    <col min="3586" max="3586" width="31.140625" style="86" customWidth="1"/>
    <col min="3587" max="3603" width="7.5703125" style="86" customWidth="1"/>
    <col min="3604" max="3604" width="11" style="86" customWidth="1"/>
    <col min="3605" max="3607" width="7.5703125" style="86" customWidth="1"/>
    <col min="3608" max="3609" width="10.7109375" style="86" customWidth="1"/>
    <col min="3610" max="3610" width="11" style="86" customWidth="1"/>
    <col min="3611" max="3613" width="10.7109375" style="86" customWidth="1"/>
    <col min="3614" max="3614" width="9.140625" style="86"/>
    <col min="3615" max="3616" width="7.5703125" style="86" customWidth="1"/>
    <col min="3617" max="3840" width="9.140625" style="86"/>
    <col min="3841" max="3841" width="5.42578125" style="86" customWidth="1"/>
    <col min="3842" max="3842" width="31.140625" style="86" customWidth="1"/>
    <col min="3843" max="3859" width="7.5703125" style="86" customWidth="1"/>
    <col min="3860" max="3860" width="11" style="86" customWidth="1"/>
    <col min="3861" max="3863" width="7.5703125" style="86" customWidth="1"/>
    <col min="3864" max="3865" width="10.7109375" style="86" customWidth="1"/>
    <col min="3866" max="3866" width="11" style="86" customWidth="1"/>
    <col min="3867" max="3869" width="10.7109375" style="86" customWidth="1"/>
    <col min="3870" max="3870" width="9.140625" style="86"/>
    <col min="3871" max="3872" width="7.5703125" style="86" customWidth="1"/>
    <col min="3873" max="4096" width="9.140625" style="86"/>
    <col min="4097" max="4097" width="5.42578125" style="86" customWidth="1"/>
    <col min="4098" max="4098" width="31.140625" style="86" customWidth="1"/>
    <col min="4099" max="4115" width="7.5703125" style="86" customWidth="1"/>
    <col min="4116" max="4116" width="11" style="86" customWidth="1"/>
    <col min="4117" max="4119" width="7.5703125" style="86" customWidth="1"/>
    <col min="4120" max="4121" width="10.7109375" style="86" customWidth="1"/>
    <col min="4122" max="4122" width="11" style="86" customWidth="1"/>
    <col min="4123" max="4125" width="10.7109375" style="86" customWidth="1"/>
    <col min="4126" max="4126" width="9.140625" style="86"/>
    <col min="4127" max="4128" width="7.5703125" style="86" customWidth="1"/>
    <col min="4129" max="4352" width="9.140625" style="86"/>
    <col min="4353" max="4353" width="5.42578125" style="86" customWidth="1"/>
    <col min="4354" max="4354" width="31.140625" style="86" customWidth="1"/>
    <col min="4355" max="4371" width="7.5703125" style="86" customWidth="1"/>
    <col min="4372" max="4372" width="11" style="86" customWidth="1"/>
    <col min="4373" max="4375" width="7.5703125" style="86" customWidth="1"/>
    <col min="4376" max="4377" width="10.7109375" style="86" customWidth="1"/>
    <col min="4378" max="4378" width="11" style="86" customWidth="1"/>
    <col min="4379" max="4381" width="10.7109375" style="86" customWidth="1"/>
    <col min="4382" max="4382" width="9.140625" style="86"/>
    <col min="4383" max="4384" width="7.5703125" style="86" customWidth="1"/>
    <col min="4385" max="4608" width="9.140625" style="86"/>
    <col min="4609" max="4609" width="5.42578125" style="86" customWidth="1"/>
    <col min="4610" max="4610" width="31.140625" style="86" customWidth="1"/>
    <col min="4611" max="4627" width="7.5703125" style="86" customWidth="1"/>
    <col min="4628" max="4628" width="11" style="86" customWidth="1"/>
    <col min="4629" max="4631" width="7.5703125" style="86" customWidth="1"/>
    <col min="4632" max="4633" width="10.7109375" style="86" customWidth="1"/>
    <col min="4634" max="4634" width="11" style="86" customWidth="1"/>
    <col min="4635" max="4637" width="10.7109375" style="86" customWidth="1"/>
    <col min="4638" max="4638" width="9.140625" style="86"/>
    <col min="4639" max="4640" width="7.5703125" style="86" customWidth="1"/>
    <col min="4641" max="4864" width="9.140625" style="86"/>
    <col min="4865" max="4865" width="5.42578125" style="86" customWidth="1"/>
    <col min="4866" max="4866" width="31.140625" style="86" customWidth="1"/>
    <col min="4867" max="4883" width="7.5703125" style="86" customWidth="1"/>
    <col min="4884" max="4884" width="11" style="86" customWidth="1"/>
    <col min="4885" max="4887" width="7.5703125" style="86" customWidth="1"/>
    <col min="4888" max="4889" width="10.7109375" style="86" customWidth="1"/>
    <col min="4890" max="4890" width="11" style="86" customWidth="1"/>
    <col min="4891" max="4893" width="10.7109375" style="86" customWidth="1"/>
    <col min="4894" max="4894" width="9.140625" style="86"/>
    <col min="4895" max="4896" width="7.5703125" style="86" customWidth="1"/>
    <col min="4897" max="5120" width="9.140625" style="86"/>
    <col min="5121" max="5121" width="5.42578125" style="86" customWidth="1"/>
    <col min="5122" max="5122" width="31.140625" style="86" customWidth="1"/>
    <col min="5123" max="5139" width="7.5703125" style="86" customWidth="1"/>
    <col min="5140" max="5140" width="11" style="86" customWidth="1"/>
    <col min="5141" max="5143" width="7.5703125" style="86" customWidth="1"/>
    <col min="5144" max="5145" width="10.7109375" style="86" customWidth="1"/>
    <col min="5146" max="5146" width="11" style="86" customWidth="1"/>
    <col min="5147" max="5149" width="10.7109375" style="86" customWidth="1"/>
    <col min="5150" max="5150" width="9.140625" style="86"/>
    <col min="5151" max="5152" width="7.5703125" style="86" customWidth="1"/>
    <col min="5153" max="5376" width="9.140625" style="86"/>
    <col min="5377" max="5377" width="5.42578125" style="86" customWidth="1"/>
    <col min="5378" max="5378" width="31.140625" style="86" customWidth="1"/>
    <col min="5379" max="5395" width="7.5703125" style="86" customWidth="1"/>
    <col min="5396" max="5396" width="11" style="86" customWidth="1"/>
    <col min="5397" max="5399" width="7.5703125" style="86" customWidth="1"/>
    <col min="5400" max="5401" width="10.7109375" style="86" customWidth="1"/>
    <col min="5402" max="5402" width="11" style="86" customWidth="1"/>
    <col min="5403" max="5405" width="10.7109375" style="86" customWidth="1"/>
    <col min="5406" max="5406" width="9.140625" style="86"/>
    <col min="5407" max="5408" width="7.5703125" style="86" customWidth="1"/>
    <col min="5409" max="5632" width="9.140625" style="86"/>
    <col min="5633" max="5633" width="5.42578125" style="86" customWidth="1"/>
    <col min="5634" max="5634" width="31.140625" style="86" customWidth="1"/>
    <col min="5635" max="5651" width="7.5703125" style="86" customWidth="1"/>
    <col min="5652" max="5652" width="11" style="86" customWidth="1"/>
    <col min="5653" max="5655" width="7.5703125" style="86" customWidth="1"/>
    <col min="5656" max="5657" width="10.7109375" style="86" customWidth="1"/>
    <col min="5658" max="5658" width="11" style="86" customWidth="1"/>
    <col min="5659" max="5661" width="10.7109375" style="86" customWidth="1"/>
    <col min="5662" max="5662" width="9.140625" style="86"/>
    <col min="5663" max="5664" width="7.5703125" style="86" customWidth="1"/>
    <col min="5665" max="5888" width="9.140625" style="86"/>
    <col min="5889" max="5889" width="5.42578125" style="86" customWidth="1"/>
    <col min="5890" max="5890" width="31.140625" style="86" customWidth="1"/>
    <col min="5891" max="5907" width="7.5703125" style="86" customWidth="1"/>
    <col min="5908" max="5908" width="11" style="86" customWidth="1"/>
    <col min="5909" max="5911" width="7.5703125" style="86" customWidth="1"/>
    <col min="5912" max="5913" width="10.7109375" style="86" customWidth="1"/>
    <col min="5914" max="5914" width="11" style="86" customWidth="1"/>
    <col min="5915" max="5917" width="10.7109375" style="86" customWidth="1"/>
    <col min="5918" max="5918" width="9.140625" style="86"/>
    <col min="5919" max="5920" width="7.5703125" style="86" customWidth="1"/>
    <col min="5921" max="6144" width="9.140625" style="86"/>
    <col min="6145" max="6145" width="5.42578125" style="86" customWidth="1"/>
    <col min="6146" max="6146" width="31.140625" style="86" customWidth="1"/>
    <col min="6147" max="6163" width="7.5703125" style="86" customWidth="1"/>
    <col min="6164" max="6164" width="11" style="86" customWidth="1"/>
    <col min="6165" max="6167" width="7.5703125" style="86" customWidth="1"/>
    <col min="6168" max="6169" width="10.7109375" style="86" customWidth="1"/>
    <col min="6170" max="6170" width="11" style="86" customWidth="1"/>
    <col min="6171" max="6173" width="10.7109375" style="86" customWidth="1"/>
    <col min="6174" max="6174" width="9.140625" style="86"/>
    <col min="6175" max="6176" width="7.5703125" style="86" customWidth="1"/>
    <col min="6177" max="6400" width="9.140625" style="86"/>
    <col min="6401" max="6401" width="5.42578125" style="86" customWidth="1"/>
    <col min="6402" max="6402" width="31.140625" style="86" customWidth="1"/>
    <col min="6403" max="6419" width="7.5703125" style="86" customWidth="1"/>
    <col min="6420" max="6420" width="11" style="86" customWidth="1"/>
    <col min="6421" max="6423" width="7.5703125" style="86" customWidth="1"/>
    <col min="6424" max="6425" width="10.7109375" style="86" customWidth="1"/>
    <col min="6426" max="6426" width="11" style="86" customWidth="1"/>
    <col min="6427" max="6429" width="10.7109375" style="86" customWidth="1"/>
    <col min="6430" max="6430" width="9.140625" style="86"/>
    <col min="6431" max="6432" width="7.5703125" style="86" customWidth="1"/>
    <col min="6433" max="6656" width="9.140625" style="86"/>
    <col min="6657" max="6657" width="5.42578125" style="86" customWidth="1"/>
    <col min="6658" max="6658" width="31.140625" style="86" customWidth="1"/>
    <col min="6659" max="6675" width="7.5703125" style="86" customWidth="1"/>
    <col min="6676" max="6676" width="11" style="86" customWidth="1"/>
    <col min="6677" max="6679" width="7.5703125" style="86" customWidth="1"/>
    <col min="6680" max="6681" width="10.7109375" style="86" customWidth="1"/>
    <col min="6682" max="6682" width="11" style="86" customWidth="1"/>
    <col min="6683" max="6685" width="10.7109375" style="86" customWidth="1"/>
    <col min="6686" max="6686" width="9.140625" style="86"/>
    <col min="6687" max="6688" width="7.5703125" style="86" customWidth="1"/>
    <col min="6689" max="6912" width="9.140625" style="86"/>
    <col min="6913" max="6913" width="5.42578125" style="86" customWidth="1"/>
    <col min="6914" max="6914" width="31.140625" style="86" customWidth="1"/>
    <col min="6915" max="6931" width="7.5703125" style="86" customWidth="1"/>
    <col min="6932" max="6932" width="11" style="86" customWidth="1"/>
    <col min="6933" max="6935" width="7.5703125" style="86" customWidth="1"/>
    <col min="6936" max="6937" width="10.7109375" style="86" customWidth="1"/>
    <col min="6938" max="6938" width="11" style="86" customWidth="1"/>
    <col min="6939" max="6941" width="10.7109375" style="86" customWidth="1"/>
    <col min="6942" max="6942" width="9.140625" style="86"/>
    <col min="6943" max="6944" width="7.5703125" style="86" customWidth="1"/>
    <col min="6945" max="7168" width="9.140625" style="86"/>
    <col min="7169" max="7169" width="5.42578125" style="86" customWidth="1"/>
    <col min="7170" max="7170" width="31.140625" style="86" customWidth="1"/>
    <col min="7171" max="7187" width="7.5703125" style="86" customWidth="1"/>
    <col min="7188" max="7188" width="11" style="86" customWidth="1"/>
    <col min="7189" max="7191" width="7.5703125" style="86" customWidth="1"/>
    <col min="7192" max="7193" width="10.7109375" style="86" customWidth="1"/>
    <col min="7194" max="7194" width="11" style="86" customWidth="1"/>
    <col min="7195" max="7197" width="10.7109375" style="86" customWidth="1"/>
    <col min="7198" max="7198" width="9.140625" style="86"/>
    <col min="7199" max="7200" width="7.5703125" style="86" customWidth="1"/>
    <col min="7201" max="7424" width="9.140625" style="86"/>
    <col min="7425" max="7425" width="5.42578125" style="86" customWidth="1"/>
    <col min="7426" max="7426" width="31.140625" style="86" customWidth="1"/>
    <col min="7427" max="7443" width="7.5703125" style="86" customWidth="1"/>
    <col min="7444" max="7444" width="11" style="86" customWidth="1"/>
    <col min="7445" max="7447" width="7.5703125" style="86" customWidth="1"/>
    <col min="7448" max="7449" width="10.7109375" style="86" customWidth="1"/>
    <col min="7450" max="7450" width="11" style="86" customWidth="1"/>
    <col min="7451" max="7453" width="10.7109375" style="86" customWidth="1"/>
    <col min="7454" max="7454" width="9.140625" style="86"/>
    <col min="7455" max="7456" width="7.5703125" style="86" customWidth="1"/>
    <col min="7457" max="7680" width="9.140625" style="86"/>
    <col min="7681" max="7681" width="5.42578125" style="86" customWidth="1"/>
    <col min="7682" max="7682" width="31.140625" style="86" customWidth="1"/>
    <col min="7683" max="7699" width="7.5703125" style="86" customWidth="1"/>
    <col min="7700" max="7700" width="11" style="86" customWidth="1"/>
    <col min="7701" max="7703" width="7.5703125" style="86" customWidth="1"/>
    <col min="7704" max="7705" width="10.7109375" style="86" customWidth="1"/>
    <col min="7706" max="7706" width="11" style="86" customWidth="1"/>
    <col min="7707" max="7709" width="10.7109375" style="86" customWidth="1"/>
    <col min="7710" max="7710" width="9.140625" style="86"/>
    <col min="7711" max="7712" width="7.5703125" style="86" customWidth="1"/>
    <col min="7713" max="7936" width="9.140625" style="86"/>
    <col min="7937" max="7937" width="5.42578125" style="86" customWidth="1"/>
    <col min="7938" max="7938" width="31.140625" style="86" customWidth="1"/>
    <col min="7939" max="7955" width="7.5703125" style="86" customWidth="1"/>
    <col min="7956" max="7956" width="11" style="86" customWidth="1"/>
    <col min="7957" max="7959" width="7.5703125" style="86" customWidth="1"/>
    <col min="7960" max="7961" width="10.7109375" style="86" customWidth="1"/>
    <col min="7962" max="7962" width="11" style="86" customWidth="1"/>
    <col min="7963" max="7965" width="10.7109375" style="86" customWidth="1"/>
    <col min="7966" max="7966" width="9.140625" style="86"/>
    <col min="7967" max="7968" width="7.5703125" style="86" customWidth="1"/>
    <col min="7969" max="8192" width="9.140625" style="86"/>
    <col min="8193" max="8193" width="5.42578125" style="86" customWidth="1"/>
    <col min="8194" max="8194" width="31.140625" style="86" customWidth="1"/>
    <col min="8195" max="8211" width="7.5703125" style="86" customWidth="1"/>
    <col min="8212" max="8212" width="11" style="86" customWidth="1"/>
    <col min="8213" max="8215" width="7.5703125" style="86" customWidth="1"/>
    <col min="8216" max="8217" width="10.7109375" style="86" customWidth="1"/>
    <col min="8218" max="8218" width="11" style="86" customWidth="1"/>
    <col min="8219" max="8221" width="10.7109375" style="86" customWidth="1"/>
    <col min="8222" max="8222" width="9.140625" style="86"/>
    <col min="8223" max="8224" width="7.5703125" style="86" customWidth="1"/>
    <col min="8225" max="8448" width="9.140625" style="86"/>
    <col min="8449" max="8449" width="5.42578125" style="86" customWidth="1"/>
    <col min="8450" max="8450" width="31.140625" style="86" customWidth="1"/>
    <col min="8451" max="8467" width="7.5703125" style="86" customWidth="1"/>
    <col min="8468" max="8468" width="11" style="86" customWidth="1"/>
    <col min="8469" max="8471" width="7.5703125" style="86" customWidth="1"/>
    <col min="8472" max="8473" width="10.7109375" style="86" customWidth="1"/>
    <col min="8474" max="8474" width="11" style="86" customWidth="1"/>
    <col min="8475" max="8477" width="10.7109375" style="86" customWidth="1"/>
    <col min="8478" max="8478" width="9.140625" style="86"/>
    <col min="8479" max="8480" width="7.5703125" style="86" customWidth="1"/>
    <col min="8481" max="8704" width="9.140625" style="86"/>
    <col min="8705" max="8705" width="5.42578125" style="86" customWidth="1"/>
    <col min="8706" max="8706" width="31.140625" style="86" customWidth="1"/>
    <col min="8707" max="8723" width="7.5703125" style="86" customWidth="1"/>
    <col min="8724" max="8724" width="11" style="86" customWidth="1"/>
    <col min="8725" max="8727" width="7.5703125" style="86" customWidth="1"/>
    <col min="8728" max="8729" width="10.7109375" style="86" customWidth="1"/>
    <col min="8730" max="8730" width="11" style="86" customWidth="1"/>
    <col min="8731" max="8733" width="10.7109375" style="86" customWidth="1"/>
    <col min="8734" max="8734" width="9.140625" style="86"/>
    <col min="8735" max="8736" width="7.5703125" style="86" customWidth="1"/>
    <col min="8737" max="8960" width="9.140625" style="86"/>
    <col min="8961" max="8961" width="5.42578125" style="86" customWidth="1"/>
    <col min="8962" max="8962" width="31.140625" style="86" customWidth="1"/>
    <col min="8963" max="8979" width="7.5703125" style="86" customWidth="1"/>
    <col min="8980" max="8980" width="11" style="86" customWidth="1"/>
    <col min="8981" max="8983" width="7.5703125" style="86" customWidth="1"/>
    <col min="8984" max="8985" width="10.7109375" style="86" customWidth="1"/>
    <col min="8986" max="8986" width="11" style="86" customWidth="1"/>
    <col min="8987" max="8989" width="10.7109375" style="86" customWidth="1"/>
    <col min="8990" max="8990" width="9.140625" style="86"/>
    <col min="8991" max="8992" width="7.5703125" style="86" customWidth="1"/>
    <col min="8993" max="9216" width="9.140625" style="86"/>
    <col min="9217" max="9217" width="5.42578125" style="86" customWidth="1"/>
    <col min="9218" max="9218" width="31.140625" style="86" customWidth="1"/>
    <col min="9219" max="9235" width="7.5703125" style="86" customWidth="1"/>
    <col min="9236" max="9236" width="11" style="86" customWidth="1"/>
    <col min="9237" max="9239" width="7.5703125" style="86" customWidth="1"/>
    <col min="9240" max="9241" width="10.7109375" style="86" customWidth="1"/>
    <col min="9242" max="9242" width="11" style="86" customWidth="1"/>
    <col min="9243" max="9245" width="10.7109375" style="86" customWidth="1"/>
    <col min="9246" max="9246" width="9.140625" style="86"/>
    <col min="9247" max="9248" width="7.5703125" style="86" customWidth="1"/>
    <col min="9249" max="9472" width="9.140625" style="86"/>
    <col min="9473" max="9473" width="5.42578125" style="86" customWidth="1"/>
    <col min="9474" max="9474" width="31.140625" style="86" customWidth="1"/>
    <col min="9475" max="9491" width="7.5703125" style="86" customWidth="1"/>
    <col min="9492" max="9492" width="11" style="86" customWidth="1"/>
    <col min="9493" max="9495" width="7.5703125" style="86" customWidth="1"/>
    <col min="9496" max="9497" width="10.7109375" style="86" customWidth="1"/>
    <col min="9498" max="9498" width="11" style="86" customWidth="1"/>
    <col min="9499" max="9501" width="10.7109375" style="86" customWidth="1"/>
    <col min="9502" max="9502" width="9.140625" style="86"/>
    <col min="9503" max="9504" width="7.5703125" style="86" customWidth="1"/>
    <col min="9505" max="9728" width="9.140625" style="86"/>
    <col min="9729" max="9729" width="5.42578125" style="86" customWidth="1"/>
    <col min="9730" max="9730" width="31.140625" style="86" customWidth="1"/>
    <col min="9731" max="9747" width="7.5703125" style="86" customWidth="1"/>
    <col min="9748" max="9748" width="11" style="86" customWidth="1"/>
    <col min="9749" max="9751" width="7.5703125" style="86" customWidth="1"/>
    <col min="9752" max="9753" width="10.7109375" style="86" customWidth="1"/>
    <col min="9754" max="9754" width="11" style="86" customWidth="1"/>
    <col min="9755" max="9757" width="10.7109375" style="86" customWidth="1"/>
    <col min="9758" max="9758" width="9.140625" style="86"/>
    <col min="9759" max="9760" width="7.5703125" style="86" customWidth="1"/>
    <col min="9761" max="9984" width="9.140625" style="86"/>
    <col min="9985" max="9985" width="5.42578125" style="86" customWidth="1"/>
    <col min="9986" max="9986" width="31.140625" style="86" customWidth="1"/>
    <col min="9987" max="10003" width="7.5703125" style="86" customWidth="1"/>
    <col min="10004" max="10004" width="11" style="86" customWidth="1"/>
    <col min="10005" max="10007" width="7.5703125" style="86" customWidth="1"/>
    <col min="10008" max="10009" width="10.7109375" style="86" customWidth="1"/>
    <col min="10010" max="10010" width="11" style="86" customWidth="1"/>
    <col min="10011" max="10013" width="10.7109375" style="86" customWidth="1"/>
    <col min="10014" max="10014" width="9.140625" style="86"/>
    <col min="10015" max="10016" width="7.5703125" style="86" customWidth="1"/>
    <col min="10017" max="10240" width="9.140625" style="86"/>
    <col min="10241" max="10241" width="5.42578125" style="86" customWidth="1"/>
    <col min="10242" max="10242" width="31.140625" style="86" customWidth="1"/>
    <col min="10243" max="10259" width="7.5703125" style="86" customWidth="1"/>
    <col min="10260" max="10260" width="11" style="86" customWidth="1"/>
    <col min="10261" max="10263" width="7.5703125" style="86" customWidth="1"/>
    <col min="10264" max="10265" width="10.7109375" style="86" customWidth="1"/>
    <col min="10266" max="10266" width="11" style="86" customWidth="1"/>
    <col min="10267" max="10269" width="10.7109375" style="86" customWidth="1"/>
    <col min="10270" max="10270" width="9.140625" style="86"/>
    <col min="10271" max="10272" width="7.5703125" style="86" customWidth="1"/>
    <col min="10273" max="10496" width="9.140625" style="86"/>
    <col min="10497" max="10497" width="5.42578125" style="86" customWidth="1"/>
    <col min="10498" max="10498" width="31.140625" style="86" customWidth="1"/>
    <col min="10499" max="10515" width="7.5703125" style="86" customWidth="1"/>
    <col min="10516" max="10516" width="11" style="86" customWidth="1"/>
    <col min="10517" max="10519" width="7.5703125" style="86" customWidth="1"/>
    <col min="10520" max="10521" width="10.7109375" style="86" customWidth="1"/>
    <col min="10522" max="10522" width="11" style="86" customWidth="1"/>
    <col min="10523" max="10525" width="10.7109375" style="86" customWidth="1"/>
    <col min="10526" max="10526" width="9.140625" style="86"/>
    <col min="10527" max="10528" width="7.5703125" style="86" customWidth="1"/>
    <col min="10529" max="10752" width="9.140625" style="86"/>
    <col min="10753" max="10753" width="5.42578125" style="86" customWidth="1"/>
    <col min="10754" max="10754" width="31.140625" style="86" customWidth="1"/>
    <col min="10755" max="10771" width="7.5703125" style="86" customWidth="1"/>
    <col min="10772" max="10772" width="11" style="86" customWidth="1"/>
    <col min="10773" max="10775" width="7.5703125" style="86" customWidth="1"/>
    <col min="10776" max="10777" width="10.7109375" style="86" customWidth="1"/>
    <col min="10778" max="10778" width="11" style="86" customWidth="1"/>
    <col min="10779" max="10781" width="10.7109375" style="86" customWidth="1"/>
    <col min="10782" max="10782" width="9.140625" style="86"/>
    <col min="10783" max="10784" width="7.5703125" style="86" customWidth="1"/>
    <col min="10785" max="11008" width="9.140625" style="86"/>
    <col min="11009" max="11009" width="5.42578125" style="86" customWidth="1"/>
    <col min="11010" max="11010" width="31.140625" style="86" customWidth="1"/>
    <col min="11011" max="11027" width="7.5703125" style="86" customWidth="1"/>
    <col min="11028" max="11028" width="11" style="86" customWidth="1"/>
    <col min="11029" max="11031" width="7.5703125" style="86" customWidth="1"/>
    <col min="11032" max="11033" width="10.7109375" style="86" customWidth="1"/>
    <col min="11034" max="11034" width="11" style="86" customWidth="1"/>
    <col min="11035" max="11037" width="10.7109375" style="86" customWidth="1"/>
    <col min="11038" max="11038" width="9.140625" style="86"/>
    <col min="11039" max="11040" width="7.5703125" style="86" customWidth="1"/>
    <col min="11041" max="11264" width="9.140625" style="86"/>
    <col min="11265" max="11265" width="5.42578125" style="86" customWidth="1"/>
    <col min="11266" max="11266" width="31.140625" style="86" customWidth="1"/>
    <col min="11267" max="11283" width="7.5703125" style="86" customWidth="1"/>
    <col min="11284" max="11284" width="11" style="86" customWidth="1"/>
    <col min="11285" max="11287" width="7.5703125" style="86" customWidth="1"/>
    <col min="11288" max="11289" width="10.7109375" style="86" customWidth="1"/>
    <col min="11290" max="11290" width="11" style="86" customWidth="1"/>
    <col min="11291" max="11293" width="10.7109375" style="86" customWidth="1"/>
    <col min="11294" max="11294" width="9.140625" style="86"/>
    <col min="11295" max="11296" width="7.5703125" style="86" customWidth="1"/>
    <col min="11297" max="11520" width="9.140625" style="86"/>
    <col min="11521" max="11521" width="5.42578125" style="86" customWidth="1"/>
    <col min="11522" max="11522" width="31.140625" style="86" customWidth="1"/>
    <col min="11523" max="11539" width="7.5703125" style="86" customWidth="1"/>
    <col min="11540" max="11540" width="11" style="86" customWidth="1"/>
    <col min="11541" max="11543" width="7.5703125" style="86" customWidth="1"/>
    <col min="11544" max="11545" width="10.7109375" style="86" customWidth="1"/>
    <col min="11546" max="11546" width="11" style="86" customWidth="1"/>
    <col min="11547" max="11549" width="10.7109375" style="86" customWidth="1"/>
    <col min="11550" max="11550" width="9.140625" style="86"/>
    <col min="11551" max="11552" width="7.5703125" style="86" customWidth="1"/>
    <col min="11553" max="11776" width="9.140625" style="86"/>
    <col min="11777" max="11777" width="5.42578125" style="86" customWidth="1"/>
    <col min="11778" max="11778" width="31.140625" style="86" customWidth="1"/>
    <col min="11779" max="11795" width="7.5703125" style="86" customWidth="1"/>
    <col min="11796" max="11796" width="11" style="86" customWidth="1"/>
    <col min="11797" max="11799" width="7.5703125" style="86" customWidth="1"/>
    <col min="11800" max="11801" width="10.7109375" style="86" customWidth="1"/>
    <col min="11802" max="11802" width="11" style="86" customWidth="1"/>
    <col min="11803" max="11805" width="10.7109375" style="86" customWidth="1"/>
    <col min="11806" max="11806" width="9.140625" style="86"/>
    <col min="11807" max="11808" width="7.5703125" style="86" customWidth="1"/>
    <col min="11809" max="12032" width="9.140625" style="86"/>
    <col min="12033" max="12033" width="5.42578125" style="86" customWidth="1"/>
    <col min="12034" max="12034" width="31.140625" style="86" customWidth="1"/>
    <col min="12035" max="12051" width="7.5703125" style="86" customWidth="1"/>
    <col min="12052" max="12052" width="11" style="86" customWidth="1"/>
    <col min="12053" max="12055" width="7.5703125" style="86" customWidth="1"/>
    <col min="12056" max="12057" width="10.7109375" style="86" customWidth="1"/>
    <col min="12058" max="12058" width="11" style="86" customWidth="1"/>
    <col min="12059" max="12061" width="10.7109375" style="86" customWidth="1"/>
    <col min="12062" max="12062" width="9.140625" style="86"/>
    <col min="12063" max="12064" width="7.5703125" style="86" customWidth="1"/>
    <col min="12065" max="12288" width="9.140625" style="86"/>
    <col min="12289" max="12289" width="5.42578125" style="86" customWidth="1"/>
    <col min="12290" max="12290" width="31.140625" style="86" customWidth="1"/>
    <col min="12291" max="12307" width="7.5703125" style="86" customWidth="1"/>
    <col min="12308" max="12308" width="11" style="86" customWidth="1"/>
    <col min="12309" max="12311" width="7.5703125" style="86" customWidth="1"/>
    <col min="12312" max="12313" width="10.7109375" style="86" customWidth="1"/>
    <col min="12314" max="12314" width="11" style="86" customWidth="1"/>
    <col min="12315" max="12317" width="10.7109375" style="86" customWidth="1"/>
    <col min="12318" max="12318" width="9.140625" style="86"/>
    <col min="12319" max="12320" width="7.5703125" style="86" customWidth="1"/>
    <col min="12321" max="12544" width="9.140625" style="86"/>
    <col min="12545" max="12545" width="5.42578125" style="86" customWidth="1"/>
    <col min="12546" max="12546" width="31.140625" style="86" customWidth="1"/>
    <col min="12547" max="12563" width="7.5703125" style="86" customWidth="1"/>
    <col min="12564" max="12564" width="11" style="86" customWidth="1"/>
    <col min="12565" max="12567" width="7.5703125" style="86" customWidth="1"/>
    <col min="12568" max="12569" width="10.7109375" style="86" customWidth="1"/>
    <col min="12570" max="12570" width="11" style="86" customWidth="1"/>
    <col min="12571" max="12573" width="10.7109375" style="86" customWidth="1"/>
    <col min="12574" max="12574" width="9.140625" style="86"/>
    <col min="12575" max="12576" width="7.5703125" style="86" customWidth="1"/>
    <col min="12577" max="12800" width="9.140625" style="86"/>
    <col min="12801" max="12801" width="5.42578125" style="86" customWidth="1"/>
    <col min="12802" max="12802" width="31.140625" style="86" customWidth="1"/>
    <col min="12803" max="12819" width="7.5703125" style="86" customWidth="1"/>
    <col min="12820" max="12820" width="11" style="86" customWidth="1"/>
    <col min="12821" max="12823" width="7.5703125" style="86" customWidth="1"/>
    <col min="12824" max="12825" width="10.7109375" style="86" customWidth="1"/>
    <col min="12826" max="12826" width="11" style="86" customWidth="1"/>
    <col min="12827" max="12829" width="10.7109375" style="86" customWidth="1"/>
    <col min="12830" max="12830" width="9.140625" style="86"/>
    <col min="12831" max="12832" width="7.5703125" style="86" customWidth="1"/>
    <col min="12833" max="13056" width="9.140625" style="86"/>
    <col min="13057" max="13057" width="5.42578125" style="86" customWidth="1"/>
    <col min="13058" max="13058" width="31.140625" style="86" customWidth="1"/>
    <col min="13059" max="13075" width="7.5703125" style="86" customWidth="1"/>
    <col min="13076" max="13076" width="11" style="86" customWidth="1"/>
    <col min="13077" max="13079" width="7.5703125" style="86" customWidth="1"/>
    <col min="13080" max="13081" width="10.7109375" style="86" customWidth="1"/>
    <col min="13082" max="13082" width="11" style="86" customWidth="1"/>
    <col min="13083" max="13085" width="10.7109375" style="86" customWidth="1"/>
    <col min="13086" max="13086" width="9.140625" style="86"/>
    <col min="13087" max="13088" width="7.5703125" style="86" customWidth="1"/>
    <col min="13089" max="13312" width="9.140625" style="86"/>
    <col min="13313" max="13313" width="5.42578125" style="86" customWidth="1"/>
    <col min="13314" max="13314" width="31.140625" style="86" customWidth="1"/>
    <col min="13315" max="13331" width="7.5703125" style="86" customWidth="1"/>
    <col min="13332" max="13332" width="11" style="86" customWidth="1"/>
    <col min="13333" max="13335" width="7.5703125" style="86" customWidth="1"/>
    <col min="13336" max="13337" width="10.7109375" style="86" customWidth="1"/>
    <col min="13338" max="13338" width="11" style="86" customWidth="1"/>
    <col min="13339" max="13341" width="10.7109375" style="86" customWidth="1"/>
    <col min="13342" max="13342" width="9.140625" style="86"/>
    <col min="13343" max="13344" width="7.5703125" style="86" customWidth="1"/>
    <col min="13345" max="13568" width="9.140625" style="86"/>
    <col min="13569" max="13569" width="5.42578125" style="86" customWidth="1"/>
    <col min="13570" max="13570" width="31.140625" style="86" customWidth="1"/>
    <col min="13571" max="13587" width="7.5703125" style="86" customWidth="1"/>
    <col min="13588" max="13588" width="11" style="86" customWidth="1"/>
    <col min="13589" max="13591" width="7.5703125" style="86" customWidth="1"/>
    <col min="13592" max="13593" width="10.7109375" style="86" customWidth="1"/>
    <col min="13594" max="13594" width="11" style="86" customWidth="1"/>
    <col min="13595" max="13597" width="10.7109375" style="86" customWidth="1"/>
    <col min="13598" max="13598" width="9.140625" style="86"/>
    <col min="13599" max="13600" width="7.5703125" style="86" customWidth="1"/>
    <col min="13601" max="13824" width="9.140625" style="86"/>
    <col min="13825" max="13825" width="5.42578125" style="86" customWidth="1"/>
    <col min="13826" max="13826" width="31.140625" style="86" customWidth="1"/>
    <col min="13827" max="13843" width="7.5703125" style="86" customWidth="1"/>
    <col min="13844" max="13844" width="11" style="86" customWidth="1"/>
    <col min="13845" max="13847" width="7.5703125" style="86" customWidth="1"/>
    <col min="13848" max="13849" width="10.7109375" style="86" customWidth="1"/>
    <col min="13850" max="13850" width="11" style="86" customWidth="1"/>
    <col min="13851" max="13853" width="10.7109375" style="86" customWidth="1"/>
    <col min="13854" max="13854" width="9.140625" style="86"/>
    <col min="13855" max="13856" width="7.5703125" style="86" customWidth="1"/>
    <col min="13857" max="14080" width="9.140625" style="86"/>
    <col min="14081" max="14081" width="5.42578125" style="86" customWidth="1"/>
    <col min="14082" max="14082" width="31.140625" style="86" customWidth="1"/>
    <col min="14083" max="14099" width="7.5703125" style="86" customWidth="1"/>
    <col min="14100" max="14100" width="11" style="86" customWidth="1"/>
    <col min="14101" max="14103" width="7.5703125" style="86" customWidth="1"/>
    <col min="14104" max="14105" width="10.7109375" style="86" customWidth="1"/>
    <col min="14106" max="14106" width="11" style="86" customWidth="1"/>
    <col min="14107" max="14109" width="10.7109375" style="86" customWidth="1"/>
    <col min="14110" max="14110" width="9.140625" style="86"/>
    <col min="14111" max="14112" width="7.5703125" style="86" customWidth="1"/>
    <col min="14113" max="14336" width="9.140625" style="86"/>
    <col min="14337" max="14337" width="5.42578125" style="86" customWidth="1"/>
    <col min="14338" max="14338" width="31.140625" style="86" customWidth="1"/>
    <col min="14339" max="14355" width="7.5703125" style="86" customWidth="1"/>
    <col min="14356" max="14356" width="11" style="86" customWidth="1"/>
    <col min="14357" max="14359" width="7.5703125" style="86" customWidth="1"/>
    <col min="14360" max="14361" width="10.7109375" style="86" customWidth="1"/>
    <col min="14362" max="14362" width="11" style="86" customWidth="1"/>
    <col min="14363" max="14365" width="10.7109375" style="86" customWidth="1"/>
    <col min="14366" max="14366" width="9.140625" style="86"/>
    <col min="14367" max="14368" width="7.5703125" style="86" customWidth="1"/>
    <col min="14369" max="14592" width="9.140625" style="86"/>
    <col min="14593" max="14593" width="5.42578125" style="86" customWidth="1"/>
    <col min="14594" max="14594" width="31.140625" style="86" customWidth="1"/>
    <col min="14595" max="14611" width="7.5703125" style="86" customWidth="1"/>
    <col min="14612" max="14612" width="11" style="86" customWidth="1"/>
    <col min="14613" max="14615" width="7.5703125" style="86" customWidth="1"/>
    <col min="14616" max="14617" width="10.7109375" style="86" customWidth="1"/>
    <col min="14618" max="14618" width="11" style="86" customWidth="1"/>
    <col min="14619" max="14621" width="10.7109375" style="86" customWidth="1"/>
    <col min="14622" max="14622" width="9.140625" style="86"/>
    <col min="14623" max="14624" width="7.5703125" style="86" customWidth="1"/>
    <col min="14625" max="14848" width="9.140625" style="86"/>
    <col min="14849" max="14849" width="5.42578125" style="86" customWidth="1"/>
    <col min="14850" max="14850" width="31.140625" style="86" customWidth="1"/>
    <col min="14851" max="14867" width="7.5703125" style="86" customWidth="1"/>
    <col min="14868" max="14868" width="11" style="86" customWidth="1"/>
    <col min="14869" max="14871" width="7.5703125" style="86" customWidth="1"/>
    <col min="14872" max="14873" width="10.7109375" style="86" customWidth="1"/>
    <col min="14874" max="14874" width="11" style="86" customWidth="1"/>
    <col min="14875" max="14877" width="10.7109375" style="86" customWidth="1"/>
    <col min="14878" max="14878" width="9.140625" style="86"/>
    <col min="14879" max="14880" width="7.5703125" style="86" customWidth="1"/>
    <col min="14881" max="15104" width="9.140625" style="86"/>
    <col min="15105" max="15105" width="5.42578125" style="86" customWidth="1"/>
    <col min="15106" max="15106" width="31.140625" style="86" customWidth="1"/>
    <col min="15107" max="15123" width="7.5703125" style="86" customWidth="1"/>
    <col min="15124" max="15124" width="11" style="86" customWidth="1"/>
    <col min="15125" max="15127" width="7.5703125" style="86" customWidth="1"/>
    <col min="15128" max="15129" width="10.7109375" style="86" customWidth="1"/>
    <col min="15130" max="15130" width="11" style="86" customWidth="1"/>
    <col min="15131" max="15133" width="10.7109375" style="86" customWidth="1"/>
    <col min="15134" max="15134" width="9.140625" style="86"/>
    <col min="15135" max="15136" width="7.5703125" style="86" customWidth="1"/>
    <col min="15137" max="15360" width="9.140625" style="86"/>
    <col min="15361" max="15361" width="5.42578125" style="86" customWidth="1"/>
    <col min="15362" max="15362" width="31.140625" style="86" customWidth="1"/>
    <col min="15363" max="15379" width="7.5703125" style="86" customWidth="1"/>
    <col min="15380" max="15380" width="11" style="86" customWidth="1"/>
    <col min="15381" max="15383" width="7.5703125" style="86" customWidth="1"/>
    <col min="15384" max="15385" width="10.7109375" style="86" customWidth="1"/>
    <col min="15386" max="15386" width="11" style="86" customWidth="1"/>
    <col min="15387" max="15389" width="10.7109375" style="86" customWidth="1"/>
    <col min="15390" max="15390" width="9.140625" style="86"/>
    <col min="15391" max="15392" width="7.5703125" style="86" customWidth="1"/>
    <col min="15393" max="15616" width="9.140625" style="86"/>
    <col min="15617" max="15617" width="5.42578125" style="86" customWidth="1"/>
    <col min="15618" max="15618" width="31.140625" style="86" customWidth="1"/>
    <col min="15619" max="15635" width="7.5703125" style="86" customWidth="1"/>
    <col min="15636" max="15636" width="11" style="86" customWidth="1"/>
    <col min="15637" max="15639" width="7.5703125" style="86" customWidth="1"/>
    <col min="15640" max="15641" width="10.7109375" style="86" customWidth="1"/>
    <col min="15642" max="15642" width="11" style="86" customWidth="1"/>
    <col min="15643" max="15645" width="10.7109375" style="86" customWidth="1"/>
    <col min="15646" max="15646" width="9.140625" style="86"/>
    <col min="15647" max="15648" width="7.5703125" style="86" customWidth="1"/>
    <col min="15649" max="15872" width="9.140625" style="86"/>
    <col min="15873" max="15873" width="5.42578125" style="86" customWidth="1"/>
    <col min="15874" max="15874" width="31.140625" style="86" customWidth="1"/>
    <col min="15875" max="15891" width="7.5703125" style="86" customWidth="1"/>
    <col min="15892" max="15892" width="11" style="86" customWidth="1"/>
    <col min="15893" max="15895" width="7.5703125" style="86" customWidth="1"/>
    <col min="15896" max="15897" width="10.7109375" style="86" customWidth="1"/>
    <col min="15898" max="15898" width="11" style="86" customWidth="1"/>
    <col min="15899" max="15901" width="10.7109375" style="86" customWidth="1"/>
    <col min="15902" max="15902" width="9.140625" style="86"/>
    <col min="15903" max="15904" width="7.5703125" style="86" customWidth="1"/>
    <col min="15905" max="16128" width="9.140625" style="86"/>
    <col min="16129" max="16129" width="5.42578125" style="86" customWidth="1"/>
    <col min="16130" max="16130" width="31.140625" style="86" customWidth="1"/>
    <col min="16131" max="16147" width="7.5703125" style="86" customWidth="1"/>
    <col min="16148" max="16148" width="11" style="86" customWidth="1"/>
    <col min="16149" max="16151" width="7.5703125" style="86" customWidth="1"/>
    <col min="16152" max="16153" width="10.7109375" style="86" customWidth="1"/>
    <col min="16154" max="16154" width="11" style="86" customWidth="1"/>
    <col min="16155" max="16157" width="10.7109375" style="86" customWidth="1"/>
    <col min="16158" max="16158" width="9.140625" style="86"/>
    <col min="16159" max="16160" width="7.5703125" style="86" customWidth="1"/>
    <col min="16161" max="16384" width="9.140625" style="86"/>
  </cols>
  <sheetData>
    <row r="1" spans="1:247" s="132" customFormat="1" ht="12.75">
      <c r="A1" s="131" t="s">
        <v>489</v>
      </c>
      <c r="AG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row>
    <row r="2" spans="1:247">
      <c r="A2" s="133" t="s">
        <v>490</v>
      </c>
      <c r="B2" s="133"/>
      <c r="C2" s="133"/>
      <c r="D2" s="133"/>
      <c r="E2" s="133"/>
      <c r="F2" s="133"/>
      <c r="O2" s="87"/>
      <c r="AH2" s="88"/>
    </row>
    <row r="3" spans="1:247" ht="22.5">
      <c r="A3" s="136" t="s">
        <v>491</v>
      </c>
      <c r="B3" s="137"/>
      <c r="C3" s="177" t="s">
        <v>236</v>
      </c>
      <c r="D3" s="26" t="s">
        <v>34</v>
      </c>
      <c r="E3" s="27" t="s">
        <v>227</v>
      </c>
      <c r="F3" s="27" t="s">
        <v>39</v>
      </c>
      <c r="G3" s="26" t="s">
        <v>238</v>
      </c>
      <c r="H3" s="27" t="s">
        <v>527</v>
      </c>
      <c r="I3" s="26" t="s">
        <v>40</v>
      </c>
      <c r="J3" s="27" t="s">
        <v>42</v>
      </c>
      <c r="K3" s="26" t="s">
        <v>43</v>
      </c>
      <c r="L3" s="27" t="s">
        <v>228</v>
      </c>
      <c r="M3" s="27" t="s">
        <v>249</v>
      </c>
      <c r="N3" s="26" t="s">
        <v>240</v>
      </c>
      <c r="O3" s="26" t="s">
        <v>47</v>
      </c>
      <c r="P3" s="27" t="s">
        <v>45</v>
      </c>
      <c r="Q3" s="27" t="s">
        <v>242</v>
      </c>
      <c r="R3" s="27" t="s">
        <v>52</v>
      </c>
      <c r="S3" s="27" t="s">
        <v>487</v>
      </c>
      <c r="T3" s="27" t="s">
        <v>485</v>
      </c>
      <c r="U3" s="26" t="s">
        <v>554</v>
      </c>
      <c r="V3" s="26" t="s">
        <v>243</v>
      </c>
      <c r="W3" s="27" t="s">
        <v>244</v>
      </c>
      <c r="X3" s="26" t="s">
        <v>50</v>
      </c>
      <c r="Y3" s="27" t="s">
        <v>229</v>
      </c>
      <c r="Z3" s="26" t="s">
        <v>245</v>
      </c>
      <c r="AA3" s="26" t="s">
        <v>246</v>
      </c>
      <c r="AB3" s="26" t="s">
        <v>53</v>
      </c>
      <c r="AC3" s="26" t="s">
        <v>417</v>
      </c>
      <c r="AD3" s="26" t="s">
        <v>603</v>
      </c>
      <c r="AE3" s="27" t="s">
        <v>499</v>
      </c>
      <c r="AF3" s="27" t="s">
        <v>500</v>
      </c>
      <c r="AG3" s="99"/>
      <c r="AH3" s="26" t="s">
        <v>345</v>
      </c>
      <c r="AI3" s="27" t="s">
        <v>342</v>
      </c>
      <c r="AJ3" s="27" t="s">
        <v>343</v>
      </c>
    </row>
    <row r="4" spans="1:247" ht="9.9499999999999993" customHeight="1">
      <c r="A4" s="141"/>
      <c r="B4" s="142"/>
      <c r="C4" s="178">
        <v>2006</v>
      </c>
      <c r="D4" s="27" t="s">
        <v>562</v>
      </c>
      <c r="E4" s="27">
        <v>2013</v>
      </c>
      <c r="F4" s="27">
        <v>2015</v>
      </c>
      <c r="G4" s="27">
        <v>2001</v>
      </c>
      <c r="H4" s="27" t="s">
        <v>41</v>
      </c>
      <c r="I4" s="27" t="s">
        <v>41</v>
      </c>
      <c r="J4" s="27" t="s">
        <v>41</v>
      </c>
      <c r="K4" s="27" t="s">
        <v>44</v>
      </c>
      <c r="L4" s="27">
        <v>2013</v>
      </c>
      <c r="M4" s="27">
        <v>2010</v>
      </c>
      <c r="N4" s="27">
        <v>2005</v>
      </c>
      <c r="O4" s="27" t="s">
        <v>48</v>
      </c>
      <c r="P4" s="27">
        <v>2021</v>
      </c>
      <c r="Q4" s="27">
        <v>2014</v>
      </c>
      <c r="R4" s="27">
        <v>2003</v>
      </c>
      <c r="S4" s="27">
        <v>2003</v>
      </c>
      <c r="T4" s="27">
        <v>2013</v>
      </c>
      <c r="U4" s="27">
        <v>2014</v>
      </c>
      <c r="V4" s="27">
        <v>2016</v>
      </c>
      <c r="W4" s="27" t="s">
        <v>41</v>
      </c>
      <c r="X4" s="27" t="s">
        <v>51</v>
      </c>
      <c r="Y4" s="27">
        <v>2013</v>
      </c>
      <c r="Z4" s="27">
        <v>1999</v>
      </c>
      <c r="AA4" s="27" t="s">
        <v>247</v>
      </c>
      <c r="AB4" s="27" t="s">
        <v>41</v>
      </c>
      <c r="AC4" s="27">
        <v>2010</v>
      </c>
      <c r="AD4" s="27" t="s">
        <v>54</v>
      </c>
      <c r="AE4" s="27" t="s">
        <v>55</v>
      </c>
      <c r="AF4" s="27">
        <v>2022</v>
      </c>
      <c r="AG4" s="99"/>
      <c r="AH4" s="27">
        <v>2008</v>
      </c>
      <c r="AI4" s="27" t="s">
        <v>403</v>
      </c>
      <c r="AJ4" s="27">
        <v>2010</v>
      </c>
    </row>
    <row r="5" spans="1:247" s="149" customFormat="1" ht="9.9499999999999993" customHeight="1">
      <c r="A5" s="145">
        <v>1</v>
      </c>
      <c r="B5" s="146" t="s">
        <v>3</v>
      </c>
      <c r="C5" s="186">
        <v>238.16539263377345</v>
      </c>
      <c r="D5" s="187">
        <v>265.64035999999999</v>
      </c>
      <c r="E5" s="187">
        <v>235.75362369589035</v>
      </c>
      <c r="F5" s="187">
        <v>304.64124647029814</v>
      </c>
      <c r="G5" s="187">
        <v>224.81659361993823</v>
      </c>
      <c r="H5" s="187">
        <v>255.57736623313485</v>
      </c>
      <c r="I5" s="187">
        <v>229.09699899999998</v>
      </c>
      <c r="J5" s="187">
        <v>204.16514446634596</v>
      </c>
      <c r="K5" s="187">
        <v>247.88114899999997</v>
      </c>
      <c r="L5" s="187">
        <v>227.70988390868385</v>
      </c>
      <c r="M5" s="187">
        <v>237.61400343162168</v>
      </c>
      <c r="N5" s="187">
        <v>267.96129000000002</v>
      </c>
      <c r="O5" s="187">
        <v>176.70905816185982</v>
      </c>
      <c r="P5" s="187">
        <v>368</v>
      </c>
      <c r="Q5" s="187">
        <v>344.45236719336691</v>
      </c>
      <c r="R5" s="187">
        <v>329.93842687466713</v>
      </c>
      <c r="S5" s="187">
        <v>315.21515016090154</v>
      </c>
      <c r="T5" s="187">
        <v>284.68813449673746</v>
      </c>
      <c r="U5" s="187">
        <v>349.15214600000002</v>
      </c>
      <c r="V5" s="187">
        <v>242.78703277641156</v>
      </c>
      <c r="W5" s="187">
        <v>270</v>
      </c>
      <c r="X5" s="187">
        <v>241.265064</v>
      </c>
      <c r="Y5" s="187">
        <v>259.5871767818864</v>
      </c>
      <c r="Z5" s="187">
        <v>295.04895104895104</v>
      </c>
      <c r="AA5" s="187">
        <v>264.63245492371703</v>
      </c>
      <c r="AB5" s="187">
        <v>202.00473289999999</v>
      </c>
      <c r="AC5" s="187">
        <v>293.40687177497603</v>
      </c>
      <c r="AD5" s="187">
        <v>246.31598740000001</v>
      </c>
      <c r="AE5" s="187">
        <v>262.26490986792737</v>
      </c>
      <c r="AF5" s="187">
        <v>283.99931344800001</v>
      </c>
      <c r="AG5" s="140"/>
      <c r="AH5" s="147">
        <v>339.76405274115194</v>
      </c>
      <c r="AI5" s="147">
        <v>294.97941550600137</v>
      </c>
      <c r="AJ5" s="147">
        <v>240.57606000000001</v>
      </c>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c r="FE5" s="86"/>
      <c r="FF5" s="86"/>
      <c r="FG5" s="86"/>
      <c r="FH5" s="86"/>
      <c r="FI5" s="86"/>
      <c r="FJ5" s="86"/>
      <c r="FK5" s="86"/>
      <c r="FL5" s="86"/>
      <c r="FM5" s="86"/>
      <c r="FN5" s="86"/>
      <c r="FO5" s="86"/>
      <c r="FP5" s="86"/>
      <c r="FQ5" s="86"/>
      <c r="FR5" s="86"/>
      <c r="FS5" s="86"/>
      <c r="FT5" s="86"/>
      <c r="FU5" s="86"/>
      <c r="FV5" s="86"/>
      <c r="FW5" s="86"/>
      <c r="FX5" s="86"/>
      <c r="FY5" s="86"/>
      <c r="FZ5" s="86"/>
      <c r="GA5" s="86"/>
      <c r="GB5" s="86"/>
      <c r="GC5" s="86"/>
      <c r="GD5" s="86"/>
      <c r="GE5" s="86"/>
      <c r="GF5" s="86"/>
      <c r="GG5" s="86"/>
      <c r="GH5" s="86"/>
      <c r="GI5" s="86"/>
      <c r="GJ5" s="86"/>
      <c r="GK5" s="86"/>
      <c r="GL5" s="86"/>
      <c r="GM5" s="86"/>
      <c r="GN5" s="86"/>
      <c r="GO5" s="86"/>
      <c r="GP5" s="86"/>
      <c r="GQ5" s="86"/>
      <c r="GR5" s="86"/>
      <c r="GS5" s="86"/>
      <c r="GT5" s="86"/>
      <c r="GU5" s="86"/>
      <c r="GV5" s="86"/>
      <c r="GW5" s="86"/>
      <c r="GX5" s="86"/>
      <c r="GY5" s="86"/>
      <c r="GZ5" s="86"/>
      <c r="HA5" s="86"/>
      <c r="HB5" s="86"/>
      <c r="HC5" s="86"/>
      <c r="HD5" s="86"/>
      <c r="HE5" s="86"/>
      <c r="HF5" s="86"/>
      <c r="HG5" s="86"/>
      <c r="HH5" s="86"/>
      <c r="HI5" s="86"/>
      <c r="HJ5" s="86"/>
      <c r="HK5" s="86"/>
      <c r="HL5" s="86"/>
      <c r="HM5" s="86"/>
      <c r="HN5" s="86"/>
      <c r="HO5" s="86"/>
      <c r="HP5" s="86"/>
      <c r="HQ5" s="86"/>
      <c r="HR5" s="86"/>
      <c r="HS5" s="86"/>
      <c r="HT5" s="86"/>
      <c r="HU5" s="86"/>
      <c r="HV5" s="86"/>
      <c r="HW5" s="86"/>
      <c r="HX5" s="86"/>
      <c r="HY5" s="86"/>
      <c r="HZ5" s="86"/>
      <c r="IA5" s="86"/>
      <c r="IB5" s="86"/>
      <c r="IC5" s="86"/>
      <c r="ID5" s="86"/>
      <c r="IE5" s="86"/>
      <c r="IF5" s="86"/>
      <c r="IG5" s="86"/>
      <c r="IH5" s="86"/>
      <c r="II5" s="86"/>
      <c r="IJ5" s="86"/>
      <c r="IK5" s="86"/>
      <c r="IL5" s="86"/>
      <c r="IM5" s="86"/>
    </row>
    <row r="6" spans="1:247" ht="9.9499999999999993" customHeight="1">
      <c r="A6" s="150">
        <v>1.1000000000000001</v>
      </c>
      <c r="B6" s="151" t="s">
        <v>4</v>
      </c>
      <c r="C6" s="101">
        <v>186.12925642807505</v>
      </c>
      <c r="D6" s="67">
        <v>208.70751626374201</v>
      </c>
      <c r="E6" s="67">
        <v>168.11866086381502</v>
      </c>
      <c r="F6" s="67">
        <v>238.25006367977633</v>
      </c>
      <c r="G6" s="67">
        <v>176.72095918446934</v>
      </c>
      <c r="H6" s="67">
        <v>201.36443258419771</v>
      </c>
      <c r="I6" s="67">
        <v>177.1891</v>
      </c>
      <c r="J6" s="67">
        <v>144.76130848462111</v>
      </c>
      <c r="K6" s="67">
        <v>190.93699999999998</v>
      </c>
      <c r="L6" s="67">
        <v>162.7177201501525</v>
      </c>
      <c r="M6" s="67">
        <v>170.90273268935738</v>
      </c>
      <c r="N6" s="67">
        <v>208.47110000000001</v>
      </c>
      <c r="O6" s="67">
        <v>121.8345330478835</v>
      </c>
      <c r="P6" s="67">
        <v>294</v>
      </c>
      <c r="Q6" s="67">
        <v>230.72139986226324</v>
      </c>
      <c r="R6" s="67">
        <v>280.03068615108344</v>
      </c>
      <c r="S6" s="67">
        <v>274.81396266072852</v>
      </c>
      <c r="T6" s="67">
        <v>212.39525252605594</v>
      </c>
      <c r="U6" s="67">
        <v>263.27080000000001</v>
      </c>
      <c r="V6" s="67">
        <v>182.55765229092233</v>
      </c>
      <c r="W6" s="67">
        <v>217.99999999999997</v>
      </c>
      <c r="X6" s="67">
        <v>166.65219999999999</v>
      </c>
      <c r="Y6" s="67">
        <v>202.42730467685953</v>
      </c>
      <c r="Z6" s="67">
        <v>233.62237762237763</v>
      </c>
      <c r="AA6" s="67">
        <v>201.71983356449374</v>
      </c>
      <c r="AB6" s="67">
        <v>151.30969999999999</v>
      </c>
      <c r="AC6" s="67">
        <v>231.18500526570702</v>
      </c>
      <c r="AD6" s="67">
        <v>186.36600000000001</v>
      </c>
      <c r="AE6" s="67">
        <v>193.70713094438065</v>
      </c>
      <c r="AF6" s="67">
        <v>232.41952161</v>
      </c>
      <c r="AG6" s="140"/>
      <c r="AH6" s="138">
        <v>267.81401804302567</v>
      </c>
      <c r="AI6" s="138">
        <v>239.51828539850592</v>
      </c>
      <c r="AJ6" s="138">
        <v>152.7003</v>
      </c>
    </row>
    <row r="7" spans="1:247" ht="9.9499999999999993" customHeight="1">
      <c r="A7" s="150">
        <v>1.2</v>
      </c>
      <c r="B7" s="151" t="s">
        <v>5</v>
      </c>
      <c r="C7" s="101">
        <v>25.017373175816541</v>
      </c>
      <c r="D7" s="67">
        <v>24.332929513360899</v>
      </c>
      <c r="E7" s="67">
        <v>26.357791324947797</v>
      </c>
      <c r="F7" s="67">
        <v>28.790462365519993</v>
      </c>
      <c r="G7" s="67">
        <v>23.050636731096279</v>
      </c>
      <c r="H7" s="67">
        <v>29.423588938741627</v>
      </c>
      <c r="I7" s="67">
        <v>20.771329999999999</v>
      </c>
      <c r="J7" s="67">
        <v>22.930911344006191</v>
      </c>
      <c r="K7" s="67">
        <v>28.380100000000002</v>
      </c>
      <c r="L7" s="67">
        <v>24.650340152991745</v>
      </c>
      <c r="M7" s="67">
        <v>28.54403949105318</v>
      </c>
      <c r="N7" s="67">
        <v>22.753419999999998</v>
      </c>
      <c r="O7" s="67">
        <v>21.329230852515245</v>
      </c>
      <c r="P7" s="67">
        <v>40</v>
      </c>
      <c r="Q7" s="67">
        <v>56.875446061423496</v>
      </c>
      <c r="R7" s="67">
        <v>36.527166244306741</v>
      </c>
      <c r="S7" s="67">
        <v>28.833324322862239</v>
      </c>
      <c r="T7" s="67">
        <v>34.830208739318444</v>
      </c>
      <c r="U7" s="67">
        <v>39.062764000000001</v>
      </c>
      <c r="V7" s="67">
        <v>31.028050726163666</v>
      </c>
      <c r="W7" s="67">
        <v>23</v>
      </c>
      <c r="X7" s="67">
        <v>29.730989999999998</v>
      </c>
      <c r="Y7" s="67">
        <v>26.851994794747839</v>
      </c>
      <c r="Z7" s="67">
        <v>25.174825174825177</v>
      </c>
      <c r="AA7" s="67">
        <v>24.965325936199722</v>
      </c>
      <c r="AB7" s="67">
        <v>21.434830000000002</v>
      </c>
      <c r="AC7" s="67">
        <v>31.002131725155394</v>
      </c>
      <c r="AD7" s="67">
        <v>30.661840000000002</v>
      </c>
      <c r="AE7" s="67">
        <v>39.168777853055737</v>
      </c>
      <c r="AF7" s="67">
        <v>18.093788826000001</v>
      </c>
      <c r="AG7" s="140"/>
      <c r="AH7" s="138">
        <v>46.967383761276892</v>
      </c>
      <c r="AI7" s="138">
        <v>32.022697414327233</v>
      </c>
      <c r="AJ7" s="138">
        <v>36.102179999999997</v>
      </c>
    </row>
    <row r="8" spans="1:247" ht="9.9499999999999993" customHeight="1">
      <c r="A8" s="150">
        <v>1.3</v>
      </c>
      <c r="B8" s="151" t="s">
        <v>6</v>
      </c>
      <c r="C8" s="101">
        <v>16.011118832522584</v>
      </c>
      <c r="D8" s="67">
        <v>16.571780791717799</v>
      </c>
      <c r="E8" s="67">
        <v>26.533761297008716</v>
      </c>
      <c r="F8" s="67">
        <v>20.897045467253172</v>
      </c>
      <c r="G8" s="67">
        <v>16.321164845099307</v>
      </c>
      <c r="H8" s="67">
        <v>23.750354926869477</v>
      </c>
      <c r="I8" s="67">
        <v>29.049119999999998</v>
      </c>
      <c r="J8" s="67">
        <v>23.727361390687015</v>
      </c>
      <c r="K8" s="67">
        <v>14.301703333333334</v>
      </c>
      <c r="L8" s="67">
        <v>23.008952894611038</v>
      </c>
      <c r="M8" s="67">
        <v>27.241528321700013</v>
      </c>
      <c r="N8" s="67">
        <v>36.73677</v>
      </c>
      <c r="O8" s="67">
        <v>13.01561670575345</v>
      </c>
      <c r="P8" s="230">
        <v>34</v>
      </c>
      <c r="Q8" s="67">
        <v>37.180674148466046</v>
      </c>
      <c r="R8" s="67">
        <v>9.6898982115359686</v>
      </c>
      <c r="S8" s="67">
        <v>8.4953832839128811</v>
      </c>
      <c r="T8" s="67">
        <v>24.877113442515157</v>
      </c>
      <c r="U8" s="67">
        <v>34.170870000000001</v>
      </c>
      <c r="V8" s="67">
        <v>13.555484329213233</v>
      </c>
      <c r="W8" s="67">
        <v>18</v>
      </c>
      <c r="X8" s="67">
        <v>32.128160000000001</v>
      </c>
      <c r="Y8" s="67">
        <v>21.483190745646727</v>
      </c>
      <c r="Z8" s="67">
        <v>27.18881118881119</v>
      </c>
      <c r="AA8" s="67">
        <v>20.970873786407768</v>
      </c>
      <c r="AB8" s="67">
        <v>17.858779999999999</v>
      </c>
      <c r="AC8" s="67">
        <v>31.219734784113403</v>
      </c>
      <c r="AD8" s="67">
        <v>16.899139999999999</v>
      </c>
      <c r="AE8" s="67">
        <v>13.671940217377509</v>
      </c>
      <c r="AF8" s="67">
        <v>17.70403344</v>
      </c>
      <c r="AG8" s="140"/>
      <c r="AH8" s="138">
        <v>24.98265093684941</v>
      </c>
      <c r="AI8" s="138">
        <v>12.009144181605688</v>
      </c>
      <c r="AJ8" s="138">
        <v>25.658950000000001</v>
      </c>
    </row>
    <row r="9" spans="1:247" ht="9.9499999999999993" customHeight="1">
      <c r="A9" s="150">
        <v>1.4</v>
      </c>
      <c r="B9" s="153" t="s">
        <v>7</v>
      </c>
      <c r="C9" s="101">
        <v>11.007644197359276</v>
      </c>
      <c r="D9" s="67">
        <v>10.7751270180944</v>
      </c>
      <c r="E9" s="67">
        <v>14.743410210118807</v>
      </c>
      <c r="F9" s="67">
        <v>15.083591355146345</v>
      </c>
      <c r="G9" s="67">
        <v>8.7238328592733474</v>
      </c>
      <c r="H9" s="67">
        <v>1.03898978332602</v>
      </c>
      <c r="I9" s="67" t="s">
        <v>248</v>
      </c>
      <c r="J9" s="67">
        <v>10.37714060821574</v>
      </c>
      <c r="K9" s="67">
        <v>9.7404333333333337</v>
      </c>
      <c r="L9" s="67">
        <v>17.332870710928567</v>
      </c>
      <c r="M9" s="67">
        <v>10.925702929511088</v>
      </c>
      <c r="N9" s="67" t="s">
        <v>248</v>
      </c>
      <c r="O9" s="67">
        <v>14.798889788736966</v>
      </c>
      <c r="P9" s="230"/>
      <c r="Q9" s="67">
        <v>19.674847121214164</v>
      </c>
      <c r="R9" s="67">
        <v>3.6906762677409524</v>
      </c>
      <c r="S9" s="67">
        <v>3.0724798933979569</v>
      </c>
      <c r="T9" s="67">
        <v>12.58555978884797</v>
      </c>
      <c r="U9" s="67">
        <v>11.12811</v>
      </c>
      <c r="V9" s="67">
        <v>11.60119212909259</v>
      </c>
      <c r="W9" s="67">
        <v>11</v>
      </c>
      <c r="X9" s="67">
        <v>8.3506839999999993</v>
      </c>
      <c r="Y9" s="67">
        <v>8.8246865646322838</v>
      </c>
      <c r="Z9" s="67">
        <v>9.0629370629370634</v>
      </c>
      <c r="AA9" s="67">
        <v>16.976421636615811</v>
      </c>
      <c r="AB9" s="67">
        <v>8.3775230000000001</v>
      </c>
      <c r="AC9" s="67" t="s">
        <v>248</v>
      </c>
      <c r="AD9" s="67">
        <v>12.142300000000001</v>
      </c>
      <c r="AE9" s="67">
        <v>13.099735796873963</v>
      </c>
      <c r="AF9" s="67">
        <v>11.550475062</v>
      </c>
      <c r="AG9" s="140"/>
      <c r="AH9" s="138" t="s">
        <v>248</v>
      </c>
      <c r="AI9" s="138">
        <v>11.429288511562502</v>
      </c>
      <c r="AJ9" s="138">
        <v>13.15171</v>
      </c>
    </row>
    <row r="10" spans="1:247" ht="9.9499999999999993" customHeight="1">
      <c r="A10" s="150">
        <v>1.5</v>
      </c>
      <c r="B10" s="153" t="s">
        <v>8</v>
      </c>
      <c r="C10" s="101" t="s">
        <v>248</v>
      </c>
      <c r="D10" s="67">
        <v>1.8271583294803599</v>
      </c>
      <c r="E10" s="67" t="s">
        <v>248</v>
      </c>
      <c r="F10" s="67">
        <v>1.6200836026022054</v>
      </c>
      <c r="G10" s="67" t="s">
        <v>248</v>
      </c>
      <c r="H10" s="67" t="s">
        <v>248</v>
      </c>
      <c r="I10" s="67" t="s">
        <v>248</v>
      </c>
      <c r="J10" s="67">
        <v>2.0235601186031063</v>
      </c>
      <c r="K10" s="67">
        <v>0.59800066666666674</v>
      </c>
      <c r="L10" s="121" t="s">
        <v>248</v>
      </c>
      <c r="M10" s="67" t="s">
        <v>248</v>
      </c>
      <c r="N10" s="67" t="s">
        <v>248</v>
      </c>
      <c r="O10" s="67">
        <v>2.5060850026540029</v>
      </c>
      <c r="P10" s="67"/>
      <c r="Q10" s="67" t="s">
        <v>248</v>
      </c>
      <c r="R10" s="67" t="s">
        <v>248</v>
      </c>
      <c r="S10" s="67" t="s">
        <v>248</v>
      </c>
      <c r="T10" s="67" t="s">
        <v>248</v>
      </c>
      <c r="U10" s="67">
        <v>1.5196019999999999</v>
      </c>
      <c r="V10" s="67">
        <v>1.1408786776647117</v>
      </c>
      <c r="W10" s="67" t="s">
        <v>248</v>
      </c>
      <c r="X10" s="67" t="s">
        <v>248</v>
      </c>
      <c r="Y10" s="67" t="s">
        <v>248</v>
      </c>
      <c r="Z10" s="67"/>
      <c r="AA10" s="67" t="s">
        <v>248</v>
      </c>
      <c r="AB10" s="67">
        <v>2.5337700000000001</v>
      </c>
      <c r="AC10" s="67" t="s">
        <v>248</v>
      </c>
      <c r="AD10" s="67" t="s">
        <v>248</v>
      </c>
      <c r="AE10" s="67">
        <v>1.7927450356366266</v>
      </c>
      <c r="AF10" s="67">
        <v>1.413869424</v>
      </c>
      <c r="AG10" s="140"/>
      <c r="AH10" s="138" t="s">
        <v>248</v>
      </c>
      <c r="AI10" s="138" t="s">
        <v>248</v>
      </c>
      <c r="AJ10" s="138" t="s">
        <v>248</v>
      </c>
    </row>
    <row r="11" spans="1:247" ht="9.9499999999999993" customHeight="1">
      <c r="A11" s="150">
        <v>1.6</v>
      </c>
      <c r="B11" s="153" t="s">
        <v>9</v>
      </c>
      <c r="C11" s="101" t="s">
        <v>248</v>
      </c>
      <c r="D11" s="67">
        <v>3.4258443816534498</v>
      </c>
      <c r="E11" s="67" t="s">
        <v>248</v>
      </c>
      <c r="F11" s="67" t="s">
        <v>248</v>
      </c>
      <c r="G11" s="67" t="s">
        <v>248</v>
      </c>
      <c r="H11" s="67" t="s">
        <v>248</v>
      </c>
      <c r="I11" s="67">
        <v>2.0874489999999999</v>
      </c>
      <c r="J11" s="67">
        <v>0.34486252021277547</v>
      </c>
      <c r="K11" s="67">
        <v>3.9239116666666667</v>
      </c>
      <c r="L11" s="121" t="s">
        <v>248</v>
      </c>
      <c r="M11" s="67" t="s">
        <v>248</v>
      </c>
      <c r="N11" s="67" t="s">
        <v>248</v>
      </c>
      <c r="O11" s="67">
        <v>3.2247027643166408</v>
      </c>
      <c r="P11" s="67" t="s">
        <v>248</v>
      </c>
      <c r="Q11" s="67" t="s">
        <v>248</v>
      </c>
      <c r="R11" s="67" t="s">
        <v>248</v>
      </c>
      <c r="S11" s="67" t="s">
        <v>248</v>
      </c>
      <c r="T11" s="67" t="s">
        <v>248</v>
      </c>
      <c r="U11" s="67" t="s">
        <v>248</v>
      </c>
      <c r="V11" s="67">
        <v>2.9037746233550226</v>
      </c>
      <c r="W11" s="67" t="s">
        <v>248</v>
      </c>
      <c r="X11" s="67">
        <v>4.4030300000000002</v>
      </c>
      <c r="Y11" s="67" t="s">
        <v>248</v>
      </c>
      <c r="Z11" s="67"/>
      <c r="AA11" s="67" t="s">
        <v>248</v>
      </c>
      <c r="AB11" s="67">
        <v>0.5</v>
      </c>
      <c r="AC11" s="67" t="s">
        <v>248</v>
      </c>
      <c r="AD11" s="67">
        <v>0</v>
      </c>
      <c r="AE11" s="67">
        <v>0.82458002060285729</v>
      </c>
      <c r="AF11" s="67">
        <v>2.8176250860000001</v>
      </c>
      <c r="AG11" s="140"/>
      <c r="AH11" s="138" t="s">
        <v>248</v>
      </c>
      <c r="AI11" s="138" t="s">
        <v>248</v>
      </c>
      <c r="AJ11" s="138">
        <v>12.96292</v>
      </c>
    </row>
    <row r="12" spans="1:247" s="149" customFormat="1" ht="9.9499999999999993" customHeight="1">
      <c r="A12" s="145">
        <v>2</v>
      </c>
      <c r="B12" s="146" t="s">
        <v>10</v>
      </c>
      <c r="C12" s="188">
        <v>243.16886726893674</v>
      </c>
      <c r="D12" s="189">
        <v>187.97064</v>
      </c>
      <c r="E12" s="189">
        <v>191.82015613289278</v>
      </c>
      <c r="F12" s="189">
        <v>186</v>
      </c>
      <c r="G12" s="189">
        <v>216.62734139108395</v>
      </c>
      <c r="H12" s="189">
        <v>207.68231072831324</v>
      </c>
      <c r="I12" s="189">
        <v>196.87715589999996</v>
      </c>
      <c r="J12" s="189">
        <v>181.09854971438716</v>
      </c>
      <c r="K12" s="189">
        <v>195.93102700000003</v>
      </c>
      <c r="L12" s="189">
        <v>180.20115534911244</v>
      </c>
      <c r="M12" s="189">
        <v>229.15895598637951</v>
      </c>
      <c r="N12" s="189">
        <v>209.641482</v>
      </c>
      <c r="O12" s="189">
        <v>219.0387454375628</v>
      </c>
      <c r="P12" s="189">
        <v>125</v>
      </c>
      <c r="Q12" s="189">
        <v>131.70642802559914</v>
      </c>
      <c r="R12" s="189">
        <v>196.07454389135427</v>
      </c>
      <c r="S12" s="189">
        <v>224.47132506809609</v>
      </c>
      <c r="T12" s="189">
        <v>179.15560398654182</v>
      </c>
      <c r="U12" s="189">
        <v>263.88787199999996</v>
      </c>
      <c r="V12" s="189">
        <v>185.56138244143753</v>
      </c>
      <c r="W12" s="189">
        <v>204</v>
      </c>
      <c r="X12" s="189">
        <v>195.98424800000001</v>
      </c>
      <c r="Y12" s="189">
        <v>225.9186996627173</v>
      </c>
      <c r="Z12" s="189">
        <v>222.54545454545453</v>
      </c>
      <c r="AA12" s="189">
        <v>230.67961165048544</v>
      </c>
      <c r="AB12" s="189">
        <v>216.72910549999997</v>
      </c>
      <c r="AC12" s="189">
        <v>196.499173777816</v>
      </c>
      <c r="AD12" s="189">
        <v>186.08949200000004</v>
      </c>
      <c r="AE12" s="189">
        <v>194.52788505857268</v>
      </c>
      <c r="AF12" s="189">
        <v>186.84663596999999</v>
      </c>
      <c r="AG12" s="140"/>
      <c r="AH12" s="147">
        <v>163.88619014573212</v>
      </c>
      <c r="AI12" s="147">
        <v>191.14614411902261</v>
      </c>
      <c r="AJ12" s="147">
        <v>182.2847917</v>
      </c>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c r="DP12" s="86"/>
      <c r="DQ12" s="86"/>
      <c r="DR12" s="86"/>
      <c r="DS12" s="86"/>
      <c r="DT12" s="86"/>
      <c r="DU12" s="86"/>
      <c r="DV12" s="86"/>
      <c r="DW12" s="86"/>
      <c r="DX12" s="86"/>
      <c r="DY12" s="86"/>
      <c r="DZ12" s="86"/>
      <c r="EA12" s="86"/>
      <c r="EB12" s="86"/>
      <c r="EC12" s="86"/>
      <c r="ED12" s="86"/>
      <c r="EE12" s="86"/>
      <c r="EF12" s="86"/>
      <c r="EG12" s="86"/>
      <c r="EH12" s="86"/>
      <c r="EI12" s="86"/>
      <c r="EJ12" s="86"/>
      <c r="EK12" s="86"/>
      <c r="EL12" s="86"/>
      <c r="EM12" s="86"/>
      <c r="EN12" s="86"/>
      <c r="EO12" s="86"/>
      <c r="EP12" s="86"/>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6"/>
      <c r="FO12" s="86"/>
      <c r="FP12" s="86"/>
      <c r="FQ12" s="86"/>
      <c r="FR12" s="86"/>
      <c r="FS12" s="86"/>
      <c r="FT12" s="86"/>
      <c r="FU12" s="86"/>
      <c r="FV12" s="86"/>
      <c r="FW12" s="86"/>
      <c r="FX12" s="86"/>
      <c r="FY12" s="86"/>
      <c r="FZ12" s="86"/>
      <c r="GA12" s="86"/>
      <c r="GB12" s="86"/>
      <c r="GC12" s="86"/>
      <c r="GD12" s="86"/>
      <c r="GE12" s="86"/>
      <c r="GF12" s="86"/>
      <c r="GG12" s="86"/>
      <c r="GH12" s="86"/>
      <c r="GI12" s="86"/>
      <c r="GJ12" s="86"/>
      <c r="GK12" s="86"/>
      <c r="GL12" s="86"/>
      <c r="GM12" s="86"/>
      <c r="GN12" s="86"/>
      <c r="GO12" s="86"/>
      <c r="GP12" s="86"/>
      <c r="GQ12" s="86"/>
      <c r="GR12" s="86"/>
      <c r="GS12" s="86"/>
      <c r="GT12" s="86"/>
      <c r="GU12" s="86"/>
      <c r="GV12" s="86"/>
      <c r="GW12" s="86"/>
      <c r="GX12" s="86"/>
      <c r="GY12" s="86"/>
      <c r="GZ12" s="86"/>
      <c r="HA12" s="86"/>
      <c r="HB12" s="86"/>
      <c r="HC12" s="86"/>
      <c r="HD12" s="86"/>
      <c r="HE12" s="86"/>
      <c r="HF12" s="86"/>
      <c r="HG12" s="86"/>
      <c r="HH12" s="86"/>
      <c r="HI12" s="86"/>
      <c r="HJ12" s="86"/>
      <c r="HK12" s="86"/>
      <c r="HL12" s="86"/>
      <c r="HM12" s="86"/>
      <c r="HN12" s="86"/>
      <c r="HO12" s="86"/>
      <c r="HP12" s="86"/>
      <c r="HQ12" s="86"/>
      <c r="HR12" s="86"/>
      <c r="HS12" s="86"/>
      <c r="HT12" s="86"/>
      <c r="HU12" s="86"/>
      <c r="HV12" s="86"/>
      <c r="HW12" s="86"/>
      <c r="HX12" s="86"/>
      <c r="HY12" s="86"/>
      <c r="HZ12" s="86"/>
      <c r="IA12" s="86"/>
      <c r="IB12" s="86"/>
      <c r="IC12" s="86"/>
      <c r="ID12" s="86"/>
      <c r="IE12" s="86"/>
      <c r="IF12" s="86"/>
      <c r="IG12" s="86"/>
      <c r="IH12" s="86"/>
      <c r="II12" s="86"/>
      <c r="IJ12" s="86"/>
      <c r="IK12" s="86"/>
      <c r="IL12" s="86"/>
      <c r="IM12" s="86"/>
    </row>
    <row r="13" spans="1:247" ht="9.9499999999999993" customHeight="1">
      <c r="A13" s="150">
        <v>2.1</v>
      </c>
      <c r="B13" s="151" t="s">
        <v>11</v>
      </c>
      <c r="C13" s="101">
        <v>132.09173036831132</v>
      </c>
      <c r="D13" s="67">
        <v>114.560634327966</v>
      </c>
      <c r="E13" s="67">
        <v>120.53960311565456</v>
      </c>
      <c r="F13" s="67">
        <v>114.68344777840595</v>
      </c>
      <c r="G13" s="67">
        <v>127.55955140937537</v>
      </c>
      <c r="H13" s="67">
        <v>120.66609002002623</v>
      </c>
      <c r="I13" s="67">
        <v>109.4122</v>
      </c>
      <c r="J13" s="67">
        <v>128.50020753153993</v>
      </c>
      <c r="K13" s="67">
        <v>109.35420000000001</v>
      </c>
      <c r="L13" s="67">
        <v>124.52283553974084</v>
      </c>
      <c r="M13" s="67">
        <v>149.95613874609404</v>
      </c>
      <c r="N13" s="67">
        <v>90.748580000000004</v>
      </c>
      <c r="O13" s="67">
        <v>134.71427265092865</v>
      </c>
      <c r="P13" s="67">
        <v>78</v>
      </c>
      <c r="Q13" s="67">
        <v>76.162790481758975</v>
      </c>
      <c r="R13" s="67">
        <v>129.98320871142414</v>
      </c>
      <c r="S13" s="67">
        <v>154.41828732696882</v>
      </c>
      <c r="T13" s="67">
        <v>107.93013211584199</v>
      </c>
      <c r="U13" s="67">
        <v>187.3759</v>
      </c>
      <c r="V13" s="67">
        <v>104.93934061698035</v>
      </c>
      <c r="W13" s="67">
        <v>110.00000000000001</v>
      </c>
      <c r="X13" s="67">
        <v>82.886830000000003</v>
      </c>
      <c r="Y13" s="67">
        <v>135.30741531307629</v>
      </c>
      <c r="Z13" s="67">
        <v>161.11888111888112</v>
      </c>
      <c r="AA13" s="67">
        <v>165.76976421636616</v>
      </c>
      <c r="AB13" s="67">
        <v>115.8587</v>
      </c>
      <c r="AC13" s="67">
        <v>107.15987953726221</v>
      </c>
      <c r="AD13" s="67">
        <v>123.8981</v>
      </c>
      <c r="AE13" s="67">
        <v>103.6219686563652</v>
      </c>
      <c r="AF13" s="67">
        <v>102.35174721</v>
      </c>
      <c r="AG13" s="140"/>
      <c r="AH13" s="138">
        <v>102.92852185981958</v>
      </c>
      <c r="AI13" s="138">
        <v>148.40091167636444</v>
      </c>
      <c r="AJ13" s="138">
        <v>130.30510000000001</v>
      </c>
    </row>
    <row r="14" spans="1:247" ht="9.9499999999999993" customHeight="1">
      <c r="A14" s="150">
        <v>2.2000000000000002</v>
      </c>
      <c r="B14" s="151" t="s">
        <v>12</v>
      </c>
      <c r="C14" s="101">
        <v>29.020152883947183</v>
      </c>
      <c r="D14" s="67">
        <v>21.755698799210698</v>
      </c>
      <c r="E14" s="67">
        <v>28.595905636097093</v>
      </c>
      <c r="F14" s="67">
        <v>24.095447924296373</v>
      </c>
      <c r="G14" s="67">
        <v>26.030902859860817</v>
      </c>
      <c r="H14" s="67">
        <v>23.959772801974655</v>
      </c>
      <c r="I14" s="67">
        <v>26.156199999999998</v>
      </c>
      <c r="J14" s="67">
        <v>22.105101295604548</v>
      </c>
      <c r="K14" s="67">
        <v>32.090466666666671</v>
      </c>
      <c r="L14" s="67">
        <v>16.354266998800973</v>
      </c>
      <c r="M14" s="67">
        <v>19.211990696384206</v>
      </c>
      <c r="N14" s="67">
        <v>27.566739999999999</v>
      </c>
      <c r="O14" s="67">
        <v>27.742728221016407</v>
      </c>
      <c r="P14" s="67">
        <v>24</v>
      </c>
      <c r="Q14" s="67">
        <v>13.27159646951012</v>
      </c>
      <c r="R14" s="67">
        <v>15.851147895986966</v>
      </c>
      <c r="S14" s="67">
        <v>17.276902280156335</v>
      </c>
      <c r="T14" s="67">
        <v>23.030768700502957</v>
      </c>
      <c r="U14" s="67">
        <v>14.179349999999999</v>
      </c>
      <c r="V14" s="67">
        <v>28.202490621798834</v>
      </c>
      <c r="W14" s="67">
        <v>24</v>
      </c>
      <c r="X14" s="67">
        <v>20.440919999999998</v>
      </c>
      <c r="Y14" s="67">
        <v>25.022829794997886</v>
      </c>
      <c r="Z14" s="67">
        <v>15.104895104895105</v>
      </c>
      <c r="AA14" s="67">
        <v>17.975034674063799</v>
      </c>
      <c r="AB14" s="67">
        <v>25.443760000000001</v>
      </c>
      <c r="AC14" s="67">
        <v>23.455743314803502</v>
      </c>
      <c r="AD14" s="67">
        <v>13.95561</v>
      </c>
      <c r="AE14" s="67">
        <v>29.412386202766559</v>
      </c>
      <c r="AF14" s="67">
        <v>18.539254715999999</v>
      </c>
      <c r="AG14" s="140"/>
      <c r="AH14" s="138">
        <v>19.986120749479529</v>
      </c>
      <c r="AI14" s="138">
        <v>11.568416441556378</v>
      </c>
      <c r="AJ14" s="138">
        <v>9.4800880000000003</v>
      </c>
    </row>
    <row r="15" spans="1:247" ht="9.9499999999999993" customHeight="1">
      <c r="A15" s="150">
        <v>2.2999999999999998</v>
      </c>
      <c r="B15" s="155" t="s">
        <v>13</v>
      </c>
      <c r="C15" s="101">
        <v>44.53092425295344</v>
      </c>
      <c r="D15" s="67">
        <v>25.869386322469101</v>
      </c>
      <c r="E15" s="67">
        <v>22</v>
      </c>
      <c r="F15" s="67">
        <v>29</v>
      </c>
      <c r="G15" s="67">
        <v>28.495650686690823</v>
      </c>
      <c r="H15" s="67">
        <v>27.928427598072435</v>
      </c>
      <c r="I15" s="67">
        <v>22.939862899999998</v>
      </c>
      <c r="J15" s="67">
        <v>22.116559396276116</v>
      </c>
      <c r="K15" s="67">
        <v>18.901665333333334</v>
      </c>
      <c r="L15" s="67">
        <v>19</v>
      </c>
      <c r="M15" s="67">
        <v>33</v>
      </c>
      <c r="N15" s="67">
        <v>60.755940000000002</v>
      </c>
      <c r="O15" s="67">
        <v>26.621509337390592</v>
      </c>
      <c r="P15" s="67" t="s">
        <v>558</v>
      </c>
      <c r="Q15" s="67">
        <v>27.695620733488894</v>
      </c>
      <c r="R15" s="67">
        <v>15</v>
      </c>
      <c r="S15" s="67">
        <v>19</v>
      </c>
      <c r="T15" s="67">
        <v>20</v>
      </c>
      <c r="U15" s="67">
        <v>38.211546999999996</v>
      </c>
      <c r="V15" s="67">
        <v>21.573036181474887</v>
      </c>
      <c r="W15" s="67">
        <v>30</v>
      </c>
      <c r="X15" s="67">
        <v>23</v>
      </c>
      <c r="Y15" s="67">
        <v>38</v>
      </c>
      <c r="Z15" s="67">
        <v>17.118881118881117</v>
      </c>
      <c r="AA15" s="67">
        <v>20.970873786407768</v>
      </c>
      <c r="AB15" s="67">
        <v>35</v>
      </c>
      <c r="AC15" s="67">
        <v>32.536489508994187</v>
      </c>
      <c r="AD15" s="67">
        <v>28.504801</v>
      </c>
      <c r="AE15" s="67">
        <v>32.05350676738788</v>
      </c>
      <c r="AF15" s="67">
        <v>29.204644907999999</v>
      </c>
      <c r="AG15" s="140"/>
      <c r="AH15" s="138">
        <v>22.984038861901457</v>
      </c>
      <c r="AI15" s="138">
        <v>21.451138074992837</v>
      </c>
      <c r="AJ15" s="138">
        <v>17.751244999999997</v>
      </c>
    </row>
    <row r="16" spans="1:247" ht="9.9499999999999993" customHeight="1">
      <c r="A16" s="150" t="s">
        <v>0</v>
      </c>
      <c r="B16" s="155" t="s">
        <v>14</v>
      </c>
      <c r="C16" s="101" t="s">
        <v>248</v>
      </c>
      <c r="D16" s="67">
        <v>24.752870000000001</v>
      </c>
      <c r="E16" s="67">
        <v>21.892779274580693</v>
      </c>
      <c r="F16" s="67">
        <v>27.601648240413706</v>
      </c>
      <c r="G16" s="67" t="s">
        <v>248</v>
      </c>
      <c r="H16" s="67">
        <v>27.536424657854379</v>
      </c>
      <c r="I16" s="67">
        <v>22.134709999999998</v>
      </c>
      <c r="J16" s="67">
        <v>21.187871241844675</v>
      </c>
      <c r="K16" s="67">
        <v>17.960899999999999</v>
      </c>
      <c r="L16" s="67">
        <v>19.328142140262639</v>
      </c>
      <c r="M16" s="67">
        <v>32.744937804741149</v>
      </c>
      <c r="N16" s="67" t="s">
        <v>248</v>
      </c>
      <c r="O16" s="67">
        <v>24.566652258315219</v>
      </c>
      <c r="P16" s="67">
        <v>20</v>
      </c>
      <c r="Q16" s="67" t="s">
        <v>248</v>
      </c>
      <c r="R16" s="67">
        <v>15</v>
      </c>
      <c r="S16" s="67">
        <v>19.435560132617375</v>
      </c>
      <c r="T16" s="67">
        <v>20.08254389941909</v>
      </c>
      <c r="U16" s="67">
        <v>32.514519999999997</v>
      </c>
      <c r="V16" s="67">
        <v>21.21219969233076</v>
      </c>
      <c r="W16" s="67">
        <v>30</v>
      </c>
      <c r="X16" s="67">
        <v>23.27684</v>
      </c>
      <c r="Y16" s="67">
        <v>38.300014552299288</v>
      </c>
      <c r="Z16" s="67"/>
      <c r="AA16" s="67">
        <v>21</v>
      </c>
      <c r="AB16" s="67">
        <v>32.346319999999999</v>
      </c>
      <c r="AC16" s="67">
        <v>25.369484379315598</v>
      </c>
      <c r="AD16" s="67">
        <v>26.312000000000001</v>
      </c>
      <c r="AE16" s="67">
        <v>25.960302397205588</v>
      </c>
      <c r="AF16" s="67">
        <v>26.786934234</v>
      </c>
      <c r="AG16" s="140"/>
      <c r="AH16" s="138" t="s">
        <v>248</v>
      </c>
      <c r="AI16" s="138" t="s">
        <v>248</v>
      </c>
      <c r="AJ16" s="138">
        <v>16.836929999999999</v>
      </c>
    </row>
    <row r="17" spans="1:247" ht="9.9499999999999993" customHeight="1">
      <c r="A17" s="150" t="s">
        <v>1</v>
      </c>
      <c r="B17" s="155" t="s">
        <v>15</v>
      </c>
      <c r="C17" s="101" t="s">
        <v>248</v>
      </c>
      <c r="D17" s="67">
        <v>1.116514</v>
      </c>
      <c r="E17" s="67" t="s">
        <v>248</v>
      </c>
      <c r="F17" s="67">
        <v>1.3372793193151422</v>
      </c>
      <c r="G17" s="67" t="s">
        <v>248</v>
      </c>
      <c r="H17" s="67" t="s">
        <v>248</v>
      </c>
      <c r="I17" s="67">
        <v>0.80515289999999995</v>
      </c>
      <c r="J17" s="67">
        <v>0.92868815443144448</v>
      </c>
      <c r="K17" s="67">
        <v>0.94076533333333334</v>
      </c>
      <c r="L17" s="67" t="s">
        <v>248</v>
      </c>
      <c r="M17" s="67" t="s">
        <v>248</v>
      </c>
      <c r="N17" s="67" t="s">
        <v>248</v>
      </c>
      <c r="O17" s="67">
        <v>2.054866090157268</v>
      </c>
      <c r="P17" s="230">
        <v>2</v>
      </c>
      <c r="Q17" s="67" t="s">
        <v>248</v>
      </c>
      <c r="R17" s="67" t="s">
        <v>248</v>
      </c>
      <c r="S17" s="67" t="s">
        <v>248</v>
      </c>
      <c r="T17" s="67" t="s">
        <v>248</v>
      </c>
      <c r="U17" s="67">
        <v>5.6970270000000003</v>
      </c>
      <c r="V17" s="67">
        <v>0.36083648914412991</v>
      </c>
      <c r="W17" s="67" t="s">
        <v>248</v>
      </c>
      <c r="X17" s="67">
        <v>0</v>
      </c>
      <c r="Y17" s="67" t="s">
        <v>248</v>
      </c>
      <c r="Z17" s="67"/>
      <c r="AA17" s="67" t="s">
        <v>248</v>
      </c>
      <c r="AB17" s="67">
        <v>2.7745519999999999</v>
      </c>
      <c r="AC17" s="67">
        <v>7.1670051296785902</v>
      </c>
      <c r="AD17" s="67">
        <v>2.1928010000000002</v>
      </c>
      <c r="AE17" s="67">
        <v>6.0055039935301062</v>
      </c>
      <c r="AF17" s="67">
        <v>2.4177106739999998</v>
      </c>
      <c r="AG17" s="140"/>
      <c r="AH17" s="138" t="s">
        <v>248</v>
      </c>
      <c r="AI17" s="138" t="s">
        <v>248</v>
      </c>
      <c r="AJ17" s="138">
        <v>0.91431499999999999</v>
      </c>
    </row>
    <row r="18" spans="1:247" ht="9.9499999999999993" customHeight="1">
      <c r="A18" s="150">
        <v>2.4</v>
      </c>
      <c r="B18" s="155" t="s">
        <v>16</v>
      </c>
      <c r="C18" s="101" t="s">
        <v>248</v>
      </c>
      <c r="D18" s="67">
        <v>6.3349299999999999</v>
      </c>
      <c r="E18" s="67">
        <v>3.5048339513958426</v>
      </c>
      <c r="F18" s="67">
        <v>4.3925418636955014</v>
      </c>
      <c r="G18" s="67">
        <v>9.8399139169451768</v>
      </c>
      <c r="H18" s="67">
        <v>10.168367392005671</v>
      </c>
      <c r="I18" s="67">
        <v>3.1949649999999998</v>
      </c>
      <c r="J18" s="67">
        <v>1.9716921155630656</v>
      </c>
      <c r="K18" s="67">
        <v>6.352783333333333</v>
      </c>
      <c r="L18" s="67">
        <v>7.126743070157822</v>
      </c>
      <c r="M18" s="67">
        <v>8.8498925036295404</v>
      </c>
      <c r="N18" s="67" t="s">
        <v>248</v>
      </c>
      <c r="O18" s="67">
        <v>6.6223061631664057</v>
      </c>
      <c r="P18" s="230"/>
      <c r="Q18" s="67">
        <v>0.99224108046153381</v>
      </c>
      <c r="R18" s="67">
        <v>11.298587937506312</v>
      </c>
      <c r="S18" s="67">
        <v>13.286608711649585</v>
      </c>
      <c r="T18" s="67">
        <v>3.323088588934934</v>
      </c>
      <c r="U18" s="67">
        <v>12.294729999999999</v>
      </c>
      <c r="V18" s="67">
        <v>6.7281695821480456</v>
      </c>
      <c r="W18" s="67">
        <v>8</v>
      </c>
      <c r="X18" s="67">
        <v>0</v>
      </c>
      <c r="Y18" s="67">
        <v>8.7045961008331201</v>
      </c>
      <c r="Z18" s="67">
        <v>7.0489510489510492</v>
      </c>
      <c r="AA18" s="67">
        <v>6.9902912621359219</v>
      </c>
      <c r="AB18" s="67">
        <v>5.6682269999999999</v>
      </c>
      <c r="AC18" s="67" t="s">
        <v>248</v>
      </c>
      <c r="AD18" s="67">
        <v>1.635562</v>
      </c>
      <c r="AE18" s="67">
        <v>6.5941895188265658</v>
      </c>
      <c r="AF18" s="67">
        <v>6.6570187020000002</v>
      </c>
      <c r="AG18" s="140"/>
      <c r="AH18" s="138">
        <v>1.9986120749479528</v>
      </c>
      <c r="AI18" s="138">
        <v>1.1764475435982551</v>
      </c>
      <c r="AJ18" s="138">
        <v>0.63028169999999994</v>
      </c>
    </row>
    <row r="19" spans="1:247" ht="9.9499999999999993" customHeight="1">
      <c r="A19" s="150">
        <v>2.5</v>
      </c>
      <c r="B19" s="155" t="s">
        <v>17</v>
      </c>
      <c r="C19" s="101">
        <v>5.5038220986796382</v>
      </c>
      <c r="D19" s="67">
        <v>7.5363959999999999</v>
      </c>
      <c r="E19" s="67">
        <v>2.7075509573291083</v>
      </c>
      <c r="F19" s="67">
        <v>3</v>
      </c>
      <c r="G19" s="67">
        <v>2.6782481149332913</v>
      </c>
      <c r="H19" s="67">
        <v>2.0108212520005453</v>
      </c>
      <c r="I19" s="67">
        <v>3.587208</v>
      </c>
      <c r="J19" s="67" t="s">
        <v>248</v>
      </c>
      <c r="K19" s="67">
        <v>6.0297233333333331</v>
      </c>
      <c r="L19" s="67">
        <v>0</v>
      </c>
      <c r="M19" s="67">
        <v>0.57585100647247756</v>
      </c>
      <c r="N19" s="67">
        <v>7.816802</v>
      </c>
      <c r="O19" s="67">
        <v>2.558667669222674</v>
      </c>
      <c r="P19" s="67">
        <v>1</v>
      </c>
      <c r="Q19" s="67">
        <v>0.76845919529151818</v>
      </c>
      <c r="R19" s="67">
        <v>0</v>
      </c>
      <c r="S19" s="67">
        <v>0</v>
      </c>
      <c r="T19" s="67">
        <v>2.6565438835111053</v>
      </c>
      <c r="U19" s="67">
        <v>2.1740189999999999</v>
      </c>
      <c r="V19" s="67">
        <v>5.0326878941789124</v>
      </c>
      <c r="W19" s="67">
        <v>5</v>
      </c>
      <c r="X19" s="67">
        <v>6.1876379999999997</v>
      </c>
      <c r="Y19" s="67">
        <v>0.58060901870741333</v>
      </c>
      <c r="Z19" s="67">
        <v>2.013986013986016</v>
      </c>
      <c r="AA19" s="67">
        <v>0.9986130374479889</v>
      </c>
      <c r="AB19" s="67">
        <v>0.88865649999999996</v>
      </c>
      <c r="AC19" s="67" t="s">
        <v>248</v>
      </c>
      <c r="AD19" s="67">
        <v>2.9435180000000001</v>
      </c>
      <c r="AE19" s="67">
        <v>3</v>
      </c>
      <c r="AF19" s="67">
        <v>4.5858284340000006</v>
      </c>
      <c r="AG19" s="140"/>
      <c r="AH19" s="138">
        <v>0.99930603747397639</v>
      </c>
      <c r="AI19" s="138">
        <v>0.25789098030651336</v>
      </c>
      <c r="AJ19" s="138">
        <v>1.5754950000000001</v>
      </c>
    </row>
    <row r="20" spans="1:247" ht="9.9499999999999993" customHeight="1">
      <c r="A20" s="150">
        <v>2.6</v>
      </c>
      <c r="B20" s="153" t="s">
        <v>18</v>
      </c>
      <c r="C20" s="101">
        <v>32.022237665045168</v>
      </c>
      <c r="D20" s="67">
        <v>10.1463116758976</v>
      </c>
      <c r="E20" s="67">
        <v>14.579483197835446</v>
      </c>
      <c r="F20" s="67">
        <v>10.393487460172024</v>
      </c>
      <c r="G20" s="67">
        <v>22.023074403278443</v>
      </c>
      <c r="H20" s="67">
        <v>22.948831664233687</v>
      </c>
      <c r="I20" s="67">
        <v>21.387869999999999</v>
      </c>
      <c r="J20" s="67">
        <v>5.5820863271722816</v>
      </c>
      <c r="K20" s="67">
        <v>20.281416666666665</v>
      </c>
      <c r="L20" s="67">
        <v>12.869167600150183</v>
      </c>
      <c r="M20" s="67">
        <v>17.820145229058152</v>
      </c>
      <c r="N20" s="67">
        <v>22.753419999999998</v>
      </c>
      <c r="O20" s="67">
        <v>20.519915550318132</v>
      </c>
      <c r="P20" s="67" t="s">
        <v>46</v>
      </c>
      <c r="Q20" s="67">
        <v>12.81572006508809</v>
      </c>
      <c r="R20" s="67">
        <v>24.190282168466112</v>
      </c>
      <c r="S20" s="67">
        <v>20.053966616703921</v>
      </c>
      <c r="T20" s="67">
        <v>22.132526798331785</v>
      </c>
      <c r="U20" s="67">
        <v>9.6523260000000004</v>
      </c>
      <c r="V20" s="67">
        <v>18.341444332211395</v>
      </c>
      <c r="W20" s="67">
        <v>28</v>
      </c>
      <c r="X20" s="67">
        <v>23.620830000000002</v>
      </c>
      <c r="Y20" s="67">
        <v>18.003234882803294</v>
      </c>
      <c r="Z20" s="67">
        <v>20.13986013986014</v>
      </c>
      <c r="AA20" s="67">
        <v>17.975034674063799</v>
      </c>
      <c r="AB20" s="67">
        <v>21.72777</v>
      </c>
      <c r="AC20" s="67">
        <v>26.235436490442797</v>
      </c>
      <c r="AD20" s="67">
        <v>12.268649999999999</v>
      </c>
      <c r="AE20" s="67">
        <v>20.385953553717655</v>
      </c>
      <c r="AF20" s="67">
        <v>24.167544528000001</v>
      </c>
      <c r="AG20" s="140"/>
      <c r="AH20" s="138">
        <v>14.989590562109647</v>
      </c>
      <c r="AI20" s="138">
        <v>8.2913394022041889</v>
      </c>
      <c r="AJ20" s="138">
        <v>9.2822820000000004</v>
      </c>
    </row>
    <row r="21" spans="1:247" ht="9.9499999999999993" customHeight="1">
      <c r="A21" s="150">
        <v>2.7</v>
      </c>
      <c r="B21" s="153" t="s">
        <v>19</v>
      </c>
      <c r="C21" s="101" t="s">
        <v>248</v>
      </c>
      <c r="D21" s="67">
        <v>1.76728280414796</v>
      </c>
      <c r="E21" s="67" t="s">
        <v>248</v>
      </c>
      <c r="F21" s="67" t="s">
        <v>248</v>
      </c>
      <c r="G21" s="67" t="s">
        <v>248</v>
      </c>
      <c r="H21" s="67" t="s">
        <v>248</v>
      </c>
      <c r="I21" s="67">
        <v>10.19885</v>
      </c>
      <c r="J21" s="67">
        <v>0.82290304823126192</v>
      </c>
      <c r="K21" s="67">
        <v>2.9207716666666665</v>
      </c>
      <c r="L21" s="67" t="s">
        <v>248</v>
      </c>
      <c r="M21" s="67" t="s">
        <v>248</v>
      </c>
      <c r="N21" s="67" t="s">
        <v>248</v>
      </c>
      <c r="O21" s="67">
        <v>0.25934584551994472</v>
      </c>
      <c r="P21" s="99" t="s">
        <v>248</v>
      </c>
      <c r="Q21" s="67" t="s">
        <v>248</v>
      </c>
      <c r="R21" s="67" t="s">
        <v>248</v>
      </c>
      <c r="S21" s="67" t="s">
        <v>248</v>
      </c>
      <c r="T21" s="67" t="s">
        <v>248</v>
      </c>
      <c r="U21" s="67" t="s">
        <v>248</v>
      </c>
      <c r="V21" s="67">
        <v>0.74421321264513463</v>
      </c>
      <c r="W21" s="67" t="s">
        <v>248</v>
      </c>
      <c r="X21" s="67">
        <v>39.571190000000001</v>
      </c>
      <c r="Y21" s="67" t="s">
        <v>248</v>
      </c>
      <c r="Z21" s="67"/>
      <c r="AA21" s="67" t="s">
        <v>248</v>
      </c>
      <c r="AB21" s="67">
        <v>12.02112</v>
      </c>
      <c r="AC21" s="67">
        <v>7.1116249263136702</v>
      </c>
      <c r="AD21" s="67">
        <v>2.883251</v>
      </c>
      <c r="AE21" s="67" t="s">
        <v>248</v>
      </c>
      <c r="AF21" s="67">
        <v>1.340597472</v>
      </c>
      <c r="AG21" s="140"/>
      <c r="AH21" s="138" t="s">
        <v>248</v>
      </c>
      <c r="AI21" s="138" t="s">
        <v>248</v>
      </c>
      <c r="AJ21" s="138">
        <v>13.260300000000001</v>
      </c>
    </row>
    <row r="22" spans="1:247" s="149" customFormat="1" ht="9.9499999999999993" customHeight="1">
      <c r="A22" s="145">
        <v>3</v>
      </c>
      <c r="B22" s="146" t="s">
        <v>20</v>
      </c>
      <c r="C22" s="188">
        <v>657.45656706045872</v>
      </c>
      <c r="D22" s="189">
        <v>667.66179</v>
      </c>
      <c r="E22" s="189">
        <v>664.04635084985557</v>
      </c>
      <c r="F22" s="189">
        <v>636.57739181561203</v>
      </c>
      <c r="G22" s="189">
        <v>659.35929496339804</v>
      </c>
      <c r="H22" s="189">
        <v>662.67314489379692</v>
      </c>
      <c r="I22" s="189">
        <v>640.48988999999995</v>
      </c>
      <c r="J22" s="189">
        <v>752.24654409000573</v>
      </c>
      <c r="K22" s="189">
        <v>648.02253333333329</v>
      </c>
      <c r="L22" s="189">
        <v>684.60355546827157</v>
      </c>
      <c r="M22" s="189">
        <v>683.13915221000184</v>
      </c>
      <c r="N22" s="189">
        <v>608.91367000000002</v>
      </c>
      <c r="O22" s="189">
        <v>707.80821800252124</v>
      </c>
      <c r="P22" s="189">
        <v>640</v>
      </c>
      <c r="Q22" s="189">
        <v>677.84742107559794</v>
      </c>
      <c r="R22" s="189">
        <v>641.29620771174177</v>
      </c>
      <c r="S22" s="189">
        <v>645.5386495136155</v>
      </c>
      <c r="T22" s="189">
        <v>685.66823095217273</v>
      </c>
      <c r="U22" s="189">
        <v>633.58384000000001</v>
      </c>
      <c r="V22" s="189">
        <v>681.59062001420568</v>
      </c>
      <c r="W22" s="189">
        <v>648</v>
      </c>
      <c r="X22" s="189">
        <v>627.27292999999997</v>
      </c>
      <c r="Y22" s="189">
        <v>657.118824153643</v>
      </c>
      <c r="Z22" s="189">
        <v>675.69230769230774</v>
      </c>
      <c r="AA22" s="189">
        <v>628.12760055478498</v>
      </c>
      <c r="AB22" s="189">
        <v>691.79238999999995</v>
      </c>
      <c r="AC22" s="189">
        <v>622.4695254203599</v>
      </c>
      <c r="AD22" s="189">
        <v>681.7966899999999</v>
      </c>
      <c r="AE22" s="189">
        <v>645.20437434277028</v>
      </c>
      <c r="AF22" s="189">
        <v>662.80231992000006</v>
      </c>
      <c r="AG22" s="140"/>
      <c r="AH22" s="147">
        <v>693.51839000693963</v>
      </c>
      <c r="AI22" s="147">
        <v>687.48991476704919</v>
      </c>
      <c r="AJ22" s="147">
        <v>695.07884000000001</v>
      </c>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6"/>
      <c r="FO22" s="86"/>
      <c r="FP22" s="86"/>
      <c r="FQ22" s="86"/>
      <c r="FR22" s="86"/>
      <c r="FS22" s="86"/>
      <c r="FT22" s="86"/>
      <c r="FU22" s="86"/>
      <c r="FV22" s="86"/>
      <c r="FW22" s="86"/>
      <c r="FX22" s="86"/>
      <c r="FY22" s="86"/>
      <c r="FZ22" s="86"/>
      <c r="GA22" s="86"/>
      <c r="GB22" s="86"/>
      <c r="GC22" s="86"/>
      <c r="GD22" s="86"/>
      <c r="GE22" s="86"/>
      <c r="GF22" s="86"/>
      <c r="GG22" s="86"/>
      <c r="GH22" s="86"/>
      <c r="GI22" s="86"/>
      <c r="GJ22" s="86"/>
      <c r="GK22" s="86"/>
      <c r="GL22" s="86"/>
      <c r="GM22" s="86"/>
      <c r="GN22" s="86"/>
      <c r="GO22" s="86"/>
      <c r="GP22" s="86"/>
      <c r="GQ22" s="86"/>
      <c r="GR22" s="86"/>
      <c r="GS22" s="86"/>
      <c r="GT22" s="86"/>
      <c r="GU22" s="86"/>
      <c r="GV22" s="86"/>
      <c r="GW22" s="86"/>
      <c r="GX22" s="86"/>
      <c r="GY22" s="86"/>
      <c r="GZ22" s="86"/>
      <c r="HA22" s="86"/>
      <c r="HB22" s="86"/>
      <c r="HC22" s="86"/>
      <c r="HD22" s="86"/>
      <c r="HE22" s="86"/>
      <c r="HF22" s="86"/>
      <c r="HG22" s="86"/>
      <c r="HH22" s="86"/>
      <c r="HI22" s="86"/>
      <c r="HJ22" s="86"/>
      <c r="HK22" s="86"/>
      <c r="HL22" s="86"/>
      <c r="HM22" s="86"/>
      <c r="HN22" s="86"/>
      <c r="HO22" s="86"/>
      <c r="HP22" s="86"/>
      <c r="HQ22" s="86"/>
      <c r="HR22" s="86"/>
      <c r="HS22" s="86"/>
      <c r="HT22" s="86"/>
      <c r="HU22" s="86"/>
      <c r="HV22" s="86"/>
      <c r="HW22" s="86"/>
      <c r="HX22" s="86"/>
      <c r="HY22" s="86"/>
      <c r="HZ22" s="86"/>
      <c r="IA22" s="86"/>
      <c r="IB22" s="86"/>
      <c r="IC22" s="86"/>
      <c r="ID22" s="86"/>
      <c r="IE22" s="86"/>
      <c r="IF22" s="86"/>
      <c r="IG22" s="86"/>
      <c r="IH22" s="86"/>
      <c r="II22" s="86"/>
      <c r="IJ22" s="86"/>
      <c r="IK22" s="86"/>
      <c r="IL22" s="86"/>
      <c r="IM22" s="86"/>
    </row>
    <row r="23" spans="1:247" ht="9.9499999999999993" customHeight="1">
      <c r="A23" s="150">
        <v>3.1</v>
      </c>
      <c r="B23" s="151" t="s">
        <v>21</v>
      </c>
      <c r="C23" s="101">
        <v>512.35580264072269</v>
      </c>
      <c r="D23" s="67">
        <v>515.82930936811704</v>
      </c>
      <c r="E23" s="67">
        <v>512.86023944507031</v>
      </c>
      <c r="F23" s="67">
        <v>520</v>
      </c>
      <c r="G23" s="67">
        <v>488.60752360280503</v>
      </c>
      <c r="H23" s="67">
        <v>530.01527932441195</v>
      </c>
      <c r="I23" s="67">
        <v>508.2611</v>
      </c>
      <c r="J23" s="67">
        <v>512.97463006601299</v>
      </c>
      <c r="K23" s="67">
        <v>498.38150000000002</v>
      </c>
      <c r="L23" s="67">
        <v>500.03293481623052</v>
      </c>
      <c r="M23" s="67">
        <v>505.89669795063986</v>
      </c>
      <c r="N23" s="67">
        <v>491.25420000000003</v>
      </c>
      <c r="O23" s="67">
        <v>513.32088598242979</v>
      </c>
      <c r="P23" s="67">
        <v>462</v>
      </c>
      <c r="Q23" s="67">
        <v>471.35074889140753</v>
      </c>
      <c r="R23" s="67">
        <v>512.28976055896999</v>
      </c>
      <c r="S23" s="67">
        <v>503.06893841806334</v>
      </c>
      <c r="T23" s="67">
        <v>518.17335730136892</v>
      </c>
      <c r="U23" s="67">
        <v>498.69540000000001</v>
      </c>
      <c r="V23" s="67">
        <v>502.77631874819303</v>
      </c>
      <c r="W23" s="67">
        <v>526</v>
      </c>
      <c r="X23" s="67">
        <v>492.12389999999999</v>
      </c>
      <c r="Y23" s="67">
        <v>508.94066489793613</v>
      </c>
      <c r="Z23" s="67">
        <v>505.51048951048955</v>
      </c>
      <c r="AA23" s="67">
        <v>501.30374479889042</v>
      </c>
      <c r="AB23" s="67">
        <v>515.66189999999995</v>
      </c>
      <c r="AC23" s="67">
        <v>482.70098676994348</v>
      </c>
      <c r="AD23" s="67">
        <v>514.58169999999996</v>
      </c>
      <c r="AE23" s="67">
        <v>508.11057904086522</v>
      </c>
      <c r="AF23" s="67">
        <v>539.36356639799999</v>
      </c>
      <c r="AG23" s="140"/>
      <c r="AH23" s="138">
        <v>541.62387231089519</v>
      </c>
      <c r="AI23" s="138">
        <v>528.14137472816958</v>
      </c>
      <c r="AJ23" s="138">
        <v>553.14170000000001</v>
      </c>
    </row>
    <row r="24" spans="1:247" ht="9.9499999999999993" customHeight="1">
      <c r="A24" s="150">
        <v>3.2</v>
      </c>
      <c r="B24" s="153" t="s">
        <v>22</v>
      </c>
      <c r="C24" s="101">
        <v>89.06184850590688</v>
      </c>
      <c r="D24" s="67">
        <v>95.711174816767993</v>
      </c>
      <c r="E24" s="67">
        <v>98.516408364348706</v>
      </c>
      <c r="F24" s="67">
        <v>64.819712591585883</v>
      </c>
      <c r="G24" s="67">
        <v>119.15340996707874</v>
      </c>
      <c r="H24" s="67">
        <v>78.996206958996609</v>
      </c>
      <c r="I24" s="67">
        <v>80.645830000000004</v>
      </c>
      <c r="J24" s="67">
        <v>132.75710778104158</v>
      </c>
      <c r="K24" s="67">
        <v>94.963149999999999</v>
      </c>
      <c r="L24" s="67">
        <v>127.53410855795852</v>
      </c>
      <c r="M24" s="67">
        <v>101.12999975600407</v>
      </c>
      <c r="N24" s="67">
        <v>75.386560000000003</v>
      </c>
      <c r="O24" s="67">
        <v>126.97485465501927</v>
      </c>
      <c r="P24" s="67">
        <v>91</v>
      </c>
      <c r="Q24" s="67">
        <v>116.9425415210389</v>
      </c>
      <c r="R24" s="67">
        <v>88.867320953693778</v>
      </c>
      <c r="S24" s="67">
        <v>88.205404975788554</v>
      </c>
      <c r="T24" s="67">
        <v>112.22232739169974</v>
      </c>
      <c r="U24" s="67">
        <v>77.002549999999999</v>
      </c>
      <c r="V24" s="67">
        <v>114.30819035517595</v>
      </c>
      <c r="W24" s="67">
        <v>80</v>
      </c>
      <c r="X24" s="67">
        <v>79.379769999999994</v>
      </c>
      <c r="Y24" s="67">
        <v>90.718431379645509</v>
      </c>
      <c r="Z24" s="67">
        <v>111.77622377622379</v>
      </c>
      <c r="AA24" s="67">
        <v>85.88072122052705</v>
      </c>
      <c r="AB24" s="67">
        <v>125.5582</v>
      </c>
      <c r="AC24" s="67">
        <v>82.535617620690005</v>
      </c>
      <c r="AD24" s="67">
        <v>117.5817</v>
      </c>
      <c r="AE24" s="67">
        <v>79.252173945979465</v>
      </c>
      <c r="AF24" s="67">
        <v>66.87912458400001</v>
      </c>
      <c r="AG24" s="140"/>
      <c r="AH24" s="138">
        <v>99.93060374739764</v>
      </c>
      <c r="AI24" s="138">
        <v>83.855191600655957</v>
      </c>
      <c r="AJ24" s="138">
        <v>72.385310000000004</v>
      </c>
    </row>
    <row r="25" spans="1:247" ht="9.9499999999999993" customHeight="1">
      <c r="A25" s="150">
        <v>3.3</v>
      </c>
      <c r="B25" s="153" t="s">
        <v>23</v>
      </c>
      <c r="C25" s="101">
        <v>56.038915913829051</v>
      </c>
      <c r="D25" s="67">
        <v>56.121309824739697</v>
      </c>
      <c r="E25" s="67">
        <v>52.669703040436566</v>
      </c>
      <c r="F25" s="67">
        <v>52.03722931810475</v>
      </c>
      <c r="G25" s="67">
        <v>51.598361393514267</v>
      </c>
      <c r="H25" s="67">
        <v>53.661658610388415</v>
      </c>
      <c r="I25" s="67">
        <v>51.58296</v>
      </c>
      <c r="J25" s="67">
        <v>106.51480624295114</v>
      </c>
      <c r="K25" s="67">
        <v>54.677883333333327</v>
      </c>
      <c r="L25" s="67">
        <v>57.036512094082539</v>
      </c>
      <c r="M25" s="67">
        <v>76.112454503358023</v>
      </c>
      <c r="N25" s="67">
        <v>42.272910000000003</v>
      </c>
      <c r="O25" s="67">
        <v>67.512477365072243</v>
      </c>
      <c r="P25" s="67">
        <v>87</v>
      </c>
      <c r="Q25" s="67">
        <v>89.554130663151426</v>
      </c>
      <c r="R25" s="67">
        <v>40.139126199077957</v>
      </c>
      <c r="S25" s="67">
        <v>54.26430611976361</v>
      </c>
      <c r="T25" s="67">
        <v>55.272546259104004</v>
      </c>
      <c r="U25" s="67">
        <v>57.885890000000003</v>
      </c>
      <c r="V25" s="67">
        <v>64.506110910836597</v>
      </c>
      <c r="W25" s="67">
        <v>42</v>
      </c>
      <c r="X25" s="67">
        <v>55.769260000000003</v>
      </c>
      <c r="Y25" s="67">
        <v>57.459727876061407</v>
      </c>
      <c r="Z25" s="67">
        <v>58.405594405594407</v>
      </c>
      <c r="AA25" s="67">
        <v>40.943134535367548</v>
      </c>
      <c r="AB25" s="67">
        <v>50.572290000000002</v>
      </c>
      <c r="AC25" s="67">
        <v>57.232921029731273</v>
      </c>
      <c r="AD25" s="67">
        <v>49.633290000000002</v>
      </c>
      <c r="AE25" s="67">
        <v>57.841621355925632</v>
      </c>
      <c r="AF25" s="67">
        <v>56.559628962000005</v>
      </c>
      <c r="AG25" s="140"/>
      <c r="AH25" s="138">
        <v>51.963913948646777</v>
      </c>
      <c r="AI25" s="138">
        <v>75.493348438223663</v>
      </c>
      <c r="AJ25" s="138">
        <v>69.551829999999995</v>
      </c>
    </row>
    <row r="26" spans="1:247" s="149" customFormat="1" ht="9.9499999999999993" customHeight="1">
      <c r="A26" s="145">
        <v>4</v>
      </c>
      <c r="B26" s="146" t="s">
        <v>24</v>
      </c>
      <c r="C26" s="188">
        <v>281.19527449617789</v>
      </c>
      <c r="D26" s="189">
        <v>306.87112000000002</v>
      </c>
      <c r="E26" s="189">
        <v>339.3501437357283</v>
      </c>
      <c r="F26" s="189">
        <v>278.93344629218751</v>
      </c>
      <c r="G26" s="189">
        <v>328.84481308687708</v>
      </c>
      <c r="H26" s="189">
        <v>309.40707964466696</v>
      </c>
      <c r="I26" s="189">
        <v>330.988722</v>
      </c>
      <c r="J26" s="189">
        <v>293.54264720486071</v>
      </c>
      <c r="K26" s="189">
        <v>331.15183500000001</v>
      </c>
      <c r="L26" s="189">
        <v>341.39119829430177</v>
      </c>
      <c r="M26" s="189">
        <v>281.34970132325799</v>
      </c>
      <c r="N26" s="189">
        <v>312.31157999999999</v>
      </c>
      <c r="O26" s="189">
        <v>323.25861693889669</v>
      </c>
      <c r="P26" s="189">
        <v>269</v>
      </c>
      <c r="Q26" s="189">
        <v>258.26020384104919</v>
      </c>
      <c r="R26" s="189">
        <v>268.84131411538192</v>
      </c>
      <c r="S26" s="189">
        <v>246.60680300744264</v>
      </c>
      <c r="T26" s="189">
        <v>276.38569977914409</v>
      </c>
      <c r="U26" s="189">
        <v>171.92742699999999</v>
      </c>
      <c r="V26" s="189">
        <v>314.76399484600472</v>
      </c>
      <c r="W26" s="189">
        <v>301</v>
      </c>
      <c r="X26" s="189">
        <v>368.24329699999998</v>
      </c>
      <c r="Y26" s="189">
        <v>286.15438793017466</v>
      </c>
      <c r="Z26" s="189">
        <v>240.67132867132867</v>
      </c>
      <c r="AA26" s="189">
        <v>310.56865464632455</v>
      </c>
      <c r="AB26" s="189">
        <v>316.04926599999999</v>
      </c>
      <c r="AC26" s="189">
        <v>321.48457251321298</v>
      </c>
      <c r="AD26" s="189">
        <v>285.730729</v>
      </c>
      <c r="AE26" s="189">
        <v>305.5309365147898</v>
      </c>
      <c r="AF26" s="189">
        <v>279.96270019799999</v>
      </c>
      <c r="AG26" s="140"/>
      <c r="AH26" s="147">
        <v>227.84177654406665</v>
      </c>
      <c r="AI26" s="147">
        <v>253.99612273410077</v>
      </c>
      <c r="AJ26" s="147">
        <v>305.89819599999998</v>
      </c>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6"/>
      <c r="FO26" s="86"/>
      <c r="FP26" s="86"/>
      <c r="FQ26" s="86"/>
      <c r="FR26" s="86"/>
      <c r="FS26" s="86"/>
      <c r="FT26" s="86"/>
      <c r="FU26" s="86"/>
      <c r="FV26" s="86"/>
      <c r="FW26" s="86"/>
      <c r="FX26" s="86"/>
      <c r="FY26" s="86"/>
      <c r="FZ26" s="86"/>
      <c r="GA26" s="86"/>
      <c r="GB26" s="86"/>
      <c r="GC26" s="86"/>
      <c r="GD26" s="86"/>
      <c r="GE26" s="86"/>
      <c r="GF26" s="86"/>
      <c r="GG26" s="86"/>
      <c r="GH26" s="86"/>
      <c r="GI26" s="86"/>
      <c r="GJ26" s="86"/>
      <c r="GK26" s="86"/>
      <c r="GL26" s="86"/>
      <c r="GM26" s="86"/>
      <c r="GN26" s="86"/>
      <c r="GO26" s="86"/>
      <c r="GP26" s="86"/>
      <c r="GQ26" s="86"/>
      <c r="GR26" s="86"/>
      <c r="GS26" s="86"/>
      <c r="GT26" s="86"/>
      <c r="GU26" s="86"/>
      <c r="GV26" s="86"/>
      <c r="GW26" s="86"/>
      <c r="GX26" s="86"/>
      <c r="GY26" s="86"/>
      <c r="GZ26" s="86"/>
      <c r="HA26" s="86"/>
      <c r="HB26" s="86"/>
      <c r="HC26" s="86"/>
      <c r="HD26" s="86"/>
      <c r="HE26" s="86"/>
      <c r="HF26" s="86"/>
      <c r="HG26" s="86"/>
      <c r="HH26" s="86"/>
      <c r="HI26" s="86"/>
      <c r="HJ26" s="86"/>
      <c r="HK26" s="86"/>
      <c r="HL26" s="86"/>
      <c r="HM26" s="86"/>
      <c r="HN26" s="86"/>
      <c r="HO26" s="86"/>
      <c r="HP26" s="86"/>
      <c r="HQ26" s="86"/>
      <c r="HR26" s="86"/>
      <c r="HS26" s="86"/>
      <c r="HT26" s="86"/>
      <c r="HU26" s="86"/>
      <c r="HV26" s="86"/>
      <c r="HW26" s="86"/>
      <c r="HX26" s="86"/>
      <c r="HY26" s="86"/>
      <c r="HZ26" s="86"/>
      <c r="IA26" s="86"/>
      <c r="IB26" s="86"/>
      <c r="IC26" s="86"/>
      <c r="ID26" s="86"/>
      <c r="IE26" s="86"/>
      <c r="IF26" s="86"/>
      <c r="IG26" s="86"/>
      <c r="IH26" s="86"/>
      <c r="II26" s="86"/>
      <c r="IJ26" s="86"/>
      <c r="IK26" s="86"/>
      <c r="IL26" s="86"/>
      <c r="IM26" s="86"/>
    </row>
    <row r="27" spans="1:247" ht="9.9499999999999993" customHeight="1">
      <c r="A27" s="150">
        <v>4.0999999999999996</v>
      </c>
      <c r="B27" s="155" t="s">
        <v>25</v>
      </c>
      <c r="C27" s="101">
        <v>19.013203613620568</v>
      </c>
      <c r="D27" s="67">
        <v>39.372431331733203</v>
      </c>
      <c r="E27" s="67">
        <v>21.016577453322085</v>
      </c>
      <c r="F27" s="67">
        <v>20.998791182177293</v>
      </c>
      <c r="G27" s="67">
        <v>22.115072429813779</v>
      </c>
      <c r="H27" s="67">
        <v>27.474674349967735</v>
      </c>
      <c r="I27" s="67">
        <v>37.230849999999997</v>
      </c>
      <c r="J27" s="67">
        <v>11.9611007010534</v>
      </c>
      <c r="K27" s="67">
        <v>26.43525</v>
      </c>
      <c r="L27" s="67">
        <v>27.687647892343549</v>
      </c>
      <c r="M27" s="67">
        <v>12.931679252410685</v>
      </c>
      <c r="N27" s="67">
        <v>20.02075</v>
      </c>
      <c r="O27" s="67">
        <v>38.214085977502052</v>
      </c>
      <c r="P27" s="67">
        <v>9</v>
      </c>
      <c r="Q27" s="67">
        <v>27.188580130647171</v>
      </c>
      <c r="R27" s="67">
        <v>24.990631279523889</v>
      </c>
      <c r="S27" s="67">
        <v>15.962224001095137</v>
      </c>
      <c r="T27" s="67">
        <v>33.237082050751781</v>
      </c>
      <c r="U27" s="67">
        <v>13.57335</v>
      </c>
      <c r="V27" s="67">
        <v>22.399997144600977</v>
      </c>
      <c r="W27" s="67">
        <v>17</v>
      </c>
      <c r="X27" s="67">
        <v>20.90907</v>
      </c>
      <c r="Y27" s="67">
        <v>23.244835450771792</v>
      </c>
      <c r="Z27" s="67">
        <v>12.083916083916083</v>
      </c>
      <c r="AA27" s="67">
        <v>31.955617198335645</v>
      </c>
      <c r="AB27" s="67">
        <v>41.877960000000002</v>
      </c>
      <c r="AC27" s="67">
        <v>34.343945080217395</v>
      </c>
      <c r="AD27" s="67">
        <v>9.4654690000000006</v>
      </c>
      <c r="AE27" s="67">
        <v>19.362315398020446</v>
      </c>
      <c r="AF27" s="67">
        <v>17.519569266000001</v>
      </c>
      <c r="AG27" s="140"/>
      <c r="AH27" s="138">
        <v>22.984038861901457</v>
      </c>
      <c r="AI27" s="138">
        <v>5.4987046680172682</v>
      </c>
      <c r="AJ27" s="138">
        <v>5.085051</v>
      </c>
    </row>
    <row r="28" spans="1:247" ht="9.9499999999999993" customHeight="1">
      <c r="A28" s="150">
        <v>4.2</v>
      </c>
      <c r="B28" s="153" t="s">
        <v>26</v>
      </c>
      <c r="C28" s="101">
        <v>6.004169562195969</v>
      </c>
      <c r="D28" s="67">
        <v>9.7690472827448893</v>
      </c>
      <c r="E28" s="67">
        <v>15.365885508381385</v>
      </c>
      <c r="F28" s="67">
        <v>5.6058645351740521</v>
      </c>
      <c r="G28" s="67">
        <v>7.4393849701311812</v>
      </c>
      <c r="H28" s="67">
        <v>7.861109817244885</v>
      </c>
      <c r="I28" s="67">
        <v>7.7142920000000004</v>
      </c>
      <c r="J28" s="67">
        <v>14.842220869919055</v>
      </c>
      <c r="K28" s="67">
        <v>13.528251666666668</v>
      </c>
      <c r="L28" s="67">
        <v>5.0861775222942098</v>
      </c>
      <c r="M28" s="67">
        <v>5.6407005961715173</v>
      </c>
      <c r="N28" s="67">
        <v>41.727780000000003</v>
      </c>
      <c r="O28" s="67">
        <v>5.8233125546677647</v>
      </c>
      <c r="P28" s="67" t="s">
        <v>248</v>
      </c>
      <c r="Q28" s="67">
        <v>4.4493138434970723</v>
      </c>
      <c r="R28" s="67">
        <v>4.7963008260519171</v>
      </c>
      <c r="S28" s="67">
        <v>1.346944277184978</v>
      </c>
      <c r="T28" s="67">
        <v>12.44199549803934</v>
      </c>
      <c r="U28" s="67">
        <v>7.2061970000000004</v>
      </c>
      <c r="V28" s="67">
        <v>6.6449189958989336</v>
      </c>
      <c r="W28" s="67">
        <v>6</v>
      </c>
      <c r="X28" s="67">
        <v>8.0566270000000006</v>
      </c>
      <c r="Y28" s="67">
        <v>2.8145949599315601</v>
      </c>
      <c r="Z28" s="67">
        <v>10.573426573426573</v>
      </c>
      <c r="AA28" s="67">
        <v>4.993065187239945</v>
      </c>
      <c r="AB28" s="67">
        <v>9.2118359999999999</v>
      </c>
      <c r="AC28" s="67">
        <v>8.8201251062107993</v>
      </c>
      <c r="AD28" s="67">
        <v>2.5805099999999999</v>
      </c>
      <c r="AE28" s="67">
        <v>7.013407728764264</v>
      </c>
      <c r="AF28" s="67">
        <v>6.529177572</v>
      </c>
      <c r="AG28" s="140"/>
      <c r="AH28" s="138">
        <v>1.9986120749479528</v>
      </c>
      <c r="AI28" s="138">
        <v>4.6092055871927444</v>
      </c>
      <c r="AJ28" s="138">
        <v>5.1077050000000002</v>
      </c>
    </row>
    <row r="29" spans="1:247" ht="9.9499999999999993" customHeight="1">
      <c r="A29" s="150">
        <v>4.3</v>
      </c>
      <c r="B29" s="151" t="s">
        <v>27</v>
      </c>
      <c r="C29" s="101">
        <v>40.006949270326601</v>
      </c>
      <c r="D29" s="67">
        <v>31.130036547289201</v>
      </c>
      <c r="E29" s="67">
        <v>50.476242090157889</v>
      </c>
      <c r="F29" s="67">
        <v>53.476652016212057</v>
      </c>
      <c r="G29" s="67">
        <v>81.371521458505086</v>
      </c>
      <c r="H29" s="67">
        <v>37.624863200050292</v>
      </c>
      <c r="I29" s="67">
        <v>54.645980000000002</v>
      </c>
      <c r="J29" s="67">
        <v>55.20107323539623</v>
      </c>
      <c r="K29" s="67">
        <v>60.646949999999997</v>
      </c>
      <c r="L29" s="67">
        <v>56.327788336975217</v>
      </c>
      <c r="M29" s="67">
        <v>35.133410175558687</v>
      </c>
      <c r="N29" s="67">
        <v>48.954450000000001</v>
      </c>
      <c r="O29" s="67">
        <v>65.35720679671374</v>
      </c>
      <c r="P29" s="67">
        <v>10</v>
      </c>
      <c r="Q29" s="67">
        <v>42.215919827237563</v>
      </c>
      <c r="R29" s="67">
        <v>35.084831672702961</v>
      </c>
      <c r="S29" s="67">
        <v>31.78246079106755</v>
      </c>
      <c r="T29" s="67">
        <v>32.301265480461019</v>
      </c>
      <c r="U29" s="67">
        <v>44.155830000000002</v>
      </c>
      <c r="V29" s="67">
        <v>72.561856865985433</v>
      </c>
      <c r="W29" s="67">
        <v>69</v>
      </c>
      <c r="X29" s="67">
        <v>57.0152</v>
      </c>
      <c r="Y29" s="67">
        <v>45.137010330567357</v>
      </c>
      <c r="Z29" s="67">
        <v>43.804195804195807</v>
      </c>
      <c r="AA29" s="67">
        <v>61.914008321775313</v>
      </c>
      <c r="AB29" s="67">
        <v>50.793500000000002</v>
      </c>
      <c r="AC29" s="67">
        <v>52.703188099824906</v>
      </c>
      <c r="AD29" s="67">
        <v>68.120159999999998</v>
      </c>
      <c r="AE29" s="67">
        <v>47.42831765130417</v>
      </c>
      <c r="AF29" s="67">
        <v>33.465303503999998</v>
      </c>
      <c r="AG29" s="140"/>
      <c r="AH29" s="138">
        <v>22.984038861901457</v>
      </c>
      <c r="AI29" s="138">
        <v>73.257531310254521</v>
      </c>
      <c r="AJ29" s="138">
        <v>82.146140000000003</v>
      </c>
    </row>
    <row r="30" spans="1:247" ht="9.9499999999999993" customHeight="1">
      <c r="A30" s="150">
        <v>4.4000000000000004</v>
      </c>
      <c r="B30" s="151" t="s">
        <v>28</v>
      </c>
      <c r="C30" s="101">
        <v>140.09728978457267</v>
      </c>
      <c r="D30" s="67">
        <v>115.737151277425</v>
      </c>
      <c r="E30" s="67">
        <v>130.56785599087419</v>
      </c>
      <c r="F30" s="67">
        <v>109.37061833330586</v>
      </c>
      <c r="G30" s="67">
        <v>122.97380825958031</v>
      </c>
      <c r="H30" s="67">
        <v>122.16253682495501</v>
      </c>
      <c r="I30" s="67">
        <v>118.1499</v>
      </c>
      <c r="J30" s="67">
        <v>113.84890667281091</v>
      </c>
      <c r="K30" s="67">
        <v>118.46509999999999</v>
      </c>
      <c r="L30" s="67">
        <v>136.96944778092217</v>
      </c>
      <c r="M30" s="67">
        <v>133.89768678936619</v>
      </c>
      <c r="N30" s="67">
        <v>85.135099999999994</v>
      </c>
      <c r="O30" s="67">
        <v>103.69272210894766</v>
      </c>
      <c r="P30" s="67">
        <v>80</v>
      </c>
      <c r="Q30" s="67">
        <v>102.00117609047734</v>
      </c>
      <c r="R30" s="67">
        <v>123.29731679890583</v>
      </c>
      <c r="S30" s="67">
        <v>136.78433735237309</v>
      </c>
      <c r="T30" s="67">
        <v>116.07331991759663</v>
      </c>
      <c r="U30" s="67">
        <v>65.659930000000003</v>
      </c>
      <c r="V30" s="67">
        <v>112.52282356132505</v>
      </c>
      <c r="W30" s="67">
        <v>124</v>
      </c>
      <c r="X30" s="67">
        <v>128.6927</v>
      </c>
      <c r="Y30" s="67">
        <v>121.83656389840486</v>
      </c>
      <c r="Z30" s="67">
        <v>113.79020979020979</v>
      </c>
      <c r="AA30" s="67">
        <v>119.83356449375867</v>
      </c>
      <c r="AB30" s="67">
        <v>129.44040000000001</v>
      </c>
      <c r="AC30" s="67">
        <v>113.294143192852</v>
      </c>
      <c r="AD30" s="67">
        <v>124.0316</v>
      </c>
      <c r="AE30" s="67">
        <v>133.31918590437161</v>
      </c>
      <c r="AF30" s="67">
        <v>141.6829113</v>
      </c>
      <c r="AG30" s="140"/>
      <c r="AH30" s="138">
        <v>126.91186675919501</v>
      </c>
      <c r="AI30" s="138">
        <v>61.43724169710584</v>
      </c>
      <c r="AJ30" s="138">
        <v>131.7347</v>
      </c>
    </row>
    <row r="31" spans="1:247" ht="9.9499999999999993" customHeight="1">
      <c r="A31" s="150">
        <v>4.5</v>
      </c>
      <c r="B31" s="151" t="s">
        <v>29</v>
      </c>
      <c r="C31" s="101">
        <v>76.073662265462005</v>
      </c>
      <c r="D31" s="67">
        <v>110.862456569418</v>
      </c>
      <c r="E31" s="67">
        <v>121.92358269299274</v>
      </c>
      <c r="F31" s="67">
        <v>89.481520225318235</v>
      </c>
      <c r="G31" s="67">
        <v>94.945025968846736</v>
      </c>
      <c r="H31" s="67">
        <v>114.283895452449</v>
      </c>
      <c r="I31" s="67">
        <v>113.24769999999999</v>
      </c>
      <c r="J31" s="67">
        <v>97.689345725681093</v>
      </c>
      <c r="K31" s="67">
        <v>112.07628333333334</v>
      </c>
      <c r="L31" s="67">
        <v>115.32013676176663</v>
      </c>
      <c r="M31" s="67">
        <v>93.746224509750945</v>
      </c>
      <c r="N31" s="67">
        <v>116.4735</v>
      </c>
      <c r="O31" s="67">
        <v>110.17128950106543</v>
      </c>
      <c r="P31" s="67">
        <v>170</v>
      </c>
      <c r="Q31" s="67">
        <v>82.405213949190042</v>
      </c>
      <c r="R31" s="67">
        <v>80.672233538197347</v>
      </c>
      <c r="S31" s="67">
        <v>60.730836585721889</v>
      </c>
      <c r="T31" s="67">
        <v>82.33203683229533</v>
      </c>
      <c r="U31" s="67">
        <v>41.332120000000003</v>
      </c>
      <c r="V31" s="67">
        <v>100.63439827819438</v>
      </c>
      <c r="W31" s="67">
        <v>85</v>
      </c>
      <c r="X31" s="67">
        <v>153.56970000000001</v>
      </c>
      <c r="Y31" s="67">
        <v>93.121383290499125</v>
      </c>
      <c r="Z31" s="67">
        <v>60.419580419580399</v>
      </c>
      <c r="AA31" s="67">
        <v>91.872399445214981</v>
      </c>
      <c r="AB31" s="67">
        <v>84.725570000000005</v>
      </c>
      <c r="AC31" s="67">
        <v>112.323171034108</v>
      </c>
      <c r="AD31" s="67">
        <v>81.532989999999998</v>
      </c>
      <c r="AE31" s="67">
        <v>98.407709832329331</v>
      </c>
      <c r="AF31" s="67">
        <v>80.765738556000002</v>
      </c>
      <c r="AG31" s="140"/>
      <c r="AH31" s="138">
        <v>52.963219986120748</v>
      </c>
      <c r="AI31" s="138">
        <v>109.19343947153037</v>
      </c>
      <c r="AJ31" s="138">
        <v>81.824600000000004</v>
      </c>
    </row>
    <row r="32" spans="1:247" s="149" customFormat="1" ht="9.9499999999999993" customHeight="1">
      <c r="A32" s="145">
        <v>5</v>
      </c>
      <c r="B32" s="146" t="s">
        <v>30</v>
      </c>
      <c r="C32" s="188">
        <v>20.01389854065323</v>
      </c>
      <c r="D32" s="189">
        <v>11.85609</v>
      </c>
      <c r="E32" s="189">
        <v>9.2212800257505485</v>
      </c>
      <c r="F32" s="189">
        <v>33.913959624558181</v>
      </c>
      <c r="G32" s="189">
        <v>10.351956938702461</v>
      </c>
      <c r="H32" s="189">
        <v>5</v>
      </c>
      <c r="I32" s="189">
        <v>42.547142000000001</v>
      </c>
      <c r="J32" s="189">
        <v>8.9471145244003232</v>
      </c>
      <c r="K32" s="189">
        <v>17.013493333333333</v>
      </c>
      <c r="L32" s="189">
        <v>6.0942069796304237</v>
      </c>
      <c r="M32" s="189">
        <v>8.738187048738542</v>
      </c>
      <c r="N32" s="189">
        <v>41.172009000000003</v>
      </c>
      <c r="O32" s="189">
        <v>13.185361459159635</v>
      </c>
      <c r="P32" s="189">
        <v>37</v>
      </c>
      <c r="Q32" s="189">
        <v>27.733579864387764</v>
      </c>
      <c r="R32" s="189">
        <v>3.8495074068550146</v>
      </c>
      <c r="S32" s="189">
        <v>8.1680722499443998</v>
      </c>
      <c r="T32" s="189">
        <v>14.063417194944442</v>
      </c>
      <c r="U32" s="189">
        <v>21.448615</v>
      </c>
      <c r="V32" s="189">
        <v>15.296654685888262</v>
      </c>
      <c r="W32" s="189">
        <v>17</v>
      </c>
      <c r="X32" s="189">
        <v>7.2344950000000008</v>
      </c>
      <c r="Y32" s="189">
        <v>11.220911471578617</v>
      </c>
      <c r="Z32" s="189">
        <v>6.0419580419580416</v>
      </c>
      <c r="AA32" s="189">
        <v>5.9916782246879334</v>
      </c>
      <c r="AB32" s="189">
        <v>13.424608000000001</v>
      </c>
      <c r="AC32" s="189">
        <v>6.1398565136318801</v>
      </c>
      <c r="AD32" s="189">
        <v>40.096759000000006</v>
      </c>
      <c r="AE32" s="189">
        <v>32.471894215939798</v>
      </c>
      <c r="AF32" s="189">
        <v>26.389030446</v>
      </c>
      <c r="AG32" s="140"/>
      <c r="AH32" s="147">
        <v>14.989590562109647</v>
      </c>
      <c r="AI32" s="147">
        <v>12.388402873825923</v>
      </c>
      <c r="AJ32" s="147">
        <v>16.162131299999999</v>
      </c>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86"/>
      <c r="DB32" s="86"/>
      <c r="DC32" s="86"/>
      <c r="DD32" s="86"/>
      <c r="DE32" s="86"/>
      <c r="DF32" s="86"/>
      <c r="DG32" s="86"/>
      <c r="DH32" s="86"/>
      <c r="DI32" s="86"/>
      <c r="DJ32" s="86"/>
      <c r="DK32" s="86"/>
      <c r="DL32" s="86"/>
      <c r="DM32" s="86"/>
      <c r="DN32" s="86"/>
      <c r="DO32" s="86"/>
      <c r="DP32" s="86"/>
      <c r="DQ32" s="86"/>
      <c r="DR32" s="86"/>
      <c r="DS32" s="86"/>
      <c r="DT32" s="86"/>
      <c r="DU32" s="86"/>
      <c r="DV32" s="86"/>
      <c r="DW32" s="86"/>
      <c r="DX32" s="86"/>
      <c r="DY32" s="86"/>
      <c r="DZ32" s="86"/>
      <c r="EA32" s="86"/>
      <c r="EB32" s="86"/>
      <c r="EC32" s="86"/>
      <c r="ED32" s="86"/>
      <c r="EE32" s="86"/>
      <c r="EF32" s="86"/>
      <c r="EG32" s="86"/>
      <c r="EH32" s="86"/>
      <c r="EI32" s="86"/>
      <c r="EJ32" s="86"/>
      <c r="EK32" s="86"/>
      <c r="EL32" s="86"/>
      <c r="EM32" s="86"/>
      <c r="EN32" s="86"/>
      <c r="EO32" s="86"/>
      <c r="EP32" s="86"/>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6"/>
      <c r="FO32" s="86"/>
      <c r="FP32" s="86"/>
      <c r="FQ32" s="86"/>
      <c r="FR32" s="86"/>
      <c r="FS32" s="86"/>
      <c r="FT32" s="86"/>
      <c r="FU32" s="86"/>
      <c r="FV32" s="86"/>
      <c r="FW32" s="86"/>
      <c r="FX32" s="86"/>
      <c r="FY32" s="86"/>
      <c r="FZ32" s="86"/>
      <c r="GA32" s="86"/>
      <c r="GB32" s="86"/>
      <c r="GC32" s="86"/>
      <c r="GD32" s="86"/>
      <c r="GE32" s="86"/>
      <c r="GF32" s="86"/>
      <c r="GG32" s="86"/>
      <c r="GH32" s="86"/>
      <c r="GI32" s="86"/>
      <c r="GJ32" s="86"/>
      <c r="GK32" s="86"/>
      <c r="GL32" s="86"/>
      <c r="GM32" s="86"/>
      <c r="GN32" s="86"/>
      <c r="GO32" s="86"/>
      <c r="GP32" s="86"/>
      <c r="GQ32" s="86"/>
      <c r="GR32" s="86"/>
      <c r="GS32" s="86"/>
      <c r="GT32" s="86"/>
      <c r="GU32" s="86"/>
      <c r="GV32" s="86"/>
      <c r="GW32" s="86"/>
      <c r="GX32" s="86"/>
      <c r="GY32" s="86"/>
      <c r="GZ32" s="86"/>
      <c r="HA32" s="86"/>
      <c r="HB32" s="86"/>
      <c r="HC32" s="86"/>
      <c r="HD32" s="86"/>
      <c r="HE32" s="86"/>
      <c r="HF32" s="86"/>
      <c r="HG32" s="86"/>
      <c r="HH32" s="86"/>
      <c r="HI32" s="86"/>
      <c r="HJ32" s="86"/>
      <c r="HK32" s="86"/>
      <c r="HL32" s="86"/>
      <c r="HM32" s="86"/>
      <c r="HN32" s="86"/>
      <c r="HO32" s="86"/>
      <c r="HP32" s="86"/>
      <c r="HQ32" s="86"/>
      <c r="HR32" s="86"/>
      <c r="HS32" s="86"/>
      <c r="HT32" s="86"/>
      <c r="HU32" s="86"/>
      <c r="HV32" s="86"/>
      <c r="HW32" s="86"/>
      <c r="HX32" s="86"/>
      <c r="HY32" s="86"/>
      <c r="HZ32" s="86"/>
      <c r="IA32" s="86"/>
      <c r="IB32" s="86"/>
      <c r="IC32" s="86"/>
      <c r="ID32" s="86"/>
      <c r="IE32" s="86"/>
      <c r="IF32" s="86"/>
      <c r="IG32" s="86"/>
      <c r="IH32" s="86"/>
      <c r="II32" s="86"/>
      <c r="IJ32" s="86"/>
      <c r="IK32" s="86"/>
      <c r="IL32" s="86"/>
      <c r="IM32" s="86"/>
    </row>
    <row r="33" spans="1:247" ht="9.9499999999999993" customHeight="1">
      <c r="A33" s="150">
        <v>5.0999999999999996</v>
      </c>
      <c r="B33" s="153" t="s">
        <v>31</v>
      </c>
      <c r="C33" s="101">
        <v>13.009034051424599</v>
      </c>
      <c r="D33" s="67">
        <v>3.5584608804872402</v>
      </c>
      <c r="E33" s="67">
        <v>2.7131717684039982</v>
      </c>
      <c r="F33" s="67">
        <v>3.9343417053583352</v>
      </c>
      <c r="G33" s="67">
        <v>5.8841604402159895</v>
      </c>
      <c r="H33" s="67">
        <v>1</v>
      </c>
      <c r="I33" s="67">
        <v>1.087882</v>
      </c>
      <c r="J33" s="67">
        <v>2.661367155985686</v>
      </c>
      <c r="K33" s="67">
        <v>2.6110766666666669</v>
      </c>
      <c r="L33" s="67">
        <v>3.0894639127902055</v>
      </c>
      <c r="M33" s="67">
        <v>1.2745982903542952</v>
      </c>
      <c r="N33" s="67">
        <v>5.8322390000000004</v>
      </c>
      <c r="O33" s="67">
        <v>6.9229959537887309</v>
      </c>
      <c r="P33" s="67" t="s">
        <v>248</v>
      </c>
      <c r="Q33" s="67">
        <v>9.4970071607061577</v>
      </c>
      <c r="R33" s="67">
        <v>1.715576090028234</v>
      </c>
      <c r="S33" s="67">
        <v>3.0495357882392153</v>
      </c>
      <c r="T33" s="67">
        <v>3.4990892676757634</v>
      </c>
      <c r="U33" s="67">
        <v>20.398109999999999</v>
      </c>
      <c r="V33" s="67">
        <v>5.6939049366279884</v>
      </c>
      <c r="W33" s="67">
        <v>9</v>
      </c>
      <c r="X33" s="67">
        <v>2.2869280000000001</v>
      </c>
      <c r="Y33" s="67">
        <v>8.5402350675583882</v>
      </c>
      <c r="Z33" s="67">
        <v>5.034965034965035</v>
      </c>
      <c r="AA33" s="67">
        <v>3.9944521497919556</v>
      </c>
      <c r="AB33" s="67">
        <v>4.2196870000000004</v>
      </c>
      <c r="AC33" s="67" t="s">
        <v>248</v>
      </c>
      <c r="AD33" s="67">
        <v>33.458820000000003</v>
      </c>
      <c r="AE33" s="67">
        <v>4.3576177197214188</v>
      </c>
      <c r="AF33" s="67">
        <v>7.3864452959999998</v>
      </c>
      <c r="AG33" s="140"/>
      <c r="AH33" s="138" t="s">
        <v>248</v>
      </c>
      <c r="AI33" s="138">
        <v>12.388402873825923</v>
      </c>
      <c r="AJ33" s="138">
        <v>16.16132</v>
      </c>
    </row>
    <row r="34" spans="1:247" ht="9.9499999999999993" customHeight="1">
      <c r="A34" s="156">
        <v>5.2</v>
      </c>
      <c r="B34" s="157" t="s">
        <v>32</v>
      </c>
      <c r="C34" s="101">
        <v>7.0048644892286314</v>
      </c>
      <c r="D34" s="67">
        <v>8.2976254620258896</v>
      </c>
      <c r="E34" s="67">
        <v>6.5081082573465494</v>
      </c>
      <c r="F34" s="67">
        <v>29.97961791919985</v>
      </c>
      <c r="G34" s="67">
        <v>4.4677964984864715</v>
      </c>
      <c r="H34" s="67">
        <v>4</v>
      </c>
      <c r="I34" s="67">
        <v>41.45926</v>
      </c>
      <c r="J34" s="67">
        <v>6.2857473684146363</v>
      </c>
      <c r="K34" s="67">
        <v>14.402416666666666</v>
      </c>
      <c r="L34" s="67">
        <v>3.0047430668402177</v>
      </c>
      <c r="M34" s="67">
        <v>7.4635887583842475</v>
      </c>
      <c r="N34" s="67">
        <v>35.339770000000001</v>
      </c>
      <c r="O34" s="67">
        <v>6.262365505370906</v>
      </c>
      <c r="P34" s="67">
        <v>37</v>
      </c>
      <c r="Q34" s="67">
        <v>18.236572703681606</v>
      </c>
      <c r="R34" s="67">
        <v>2.1339313168267804</v>
      </c>
      <c r="S34" s="67">
        <v>5.1185364617051841</v>
      </c>
      <c r="T34" s="67">
        <v>10.564327927268678</v>
      </c>
      <c r="U34" s="67">
        <v>1.050505</v>
      </c>
      <c r="V34" s="67">
        <v>9.6027497492602727</v>
      </c>
      <c r="W34" s="67">
        <v>9</v>
      </c>
      <c r="X34" s="67">
        <v>4.9475670000000003</v>
      </c>
      <c r="Y34" s="67">
        <v>2.6806764040202284</v>
      </c>
      <c r="Z34" s="67">
        <v>1.0069930069930071</v>
      </c>
      <c r="AA34" s="67">
        <v>1.9972260748959778</v>
      </c>
      <c r="AB34" s="67">
        <v>9.2049210000000006</v>
      </c>
      <c r="AC34" s="67" t="s">
        <v>248</v>
      </c>
      <c r="AD34" s="67">
        <v>6.6379390000000003</v>
      </c>
      <c r="AE34" s="67">
        <v>28.114276496218384</v>
      </c>
      <c r="AF34" s="67">
        <v>19.002585150000002</v>
      </c>
      <c r="AG34" s="140"/>
      <c r="AH34" s="144">
        <v>14.989590562109647</v>
      </c>
      <c r="AI34" s="138" t="s">
        <v>248</v>
      </c>
      <c r="AJ34" s="144" t="s">
        <v>248</v>
      </c>
    </row>
    <row r="35" spans="1:247" s="149" customFormat="1" ht="9.9499999999999993" customHeight="1">
      <c r="A35" s="145" t="s">
        <v>2</v>
      </c>
      <c r="B35" s="146" t="s">
        <v>33</v>
      </c>
      <c r="C35" s="103">
        <v>1440</v>
      </c>
      <c r="D35" s="46">
        <v>1440</v>
      </c>
      <c r="E35" s="46">
        <v>1440.1915544401177</v>
      </c>
      <c r="F35" s="46">
        <v>1440.066044202656</v>
      </c>
      <c r="G35" s="46">
        <v>1440</v>
      </c>
      <c r="H35" s="46">
        <v>1440.339901499912</v>
      </c>
      <c r="I35" s="46">
        <v>1439.9999088999998</v>
      </c>
      <c r="J35" s="46">
        <v>1440</v>
      </c>
      <c r="K35" s="46">
        <v>1440.0000376666665</v>
      </c>
      <c r="L35" s="46">
        <v>1440</v>
      </c>
      <c r="M35" s="46">
        <v>1440</v>
      </c>
      <c r="N35" s="46">
        <v>1440</v>
      </c>
      <c r="O35" s="46">
        <v>1440</v>
      </c>
      <c r="P35" s="46">
        <v>1440.1092599257634</v>
      </c>
      <c r="Q35" s="46">
        <v>1440.0000000000009</v>
      </c>
      <c r="R35" s="46">
        <v>1440.0000000000002</v>
      </c>
      <c r="S35" s="46">
        <v>1440</v>
      </c>
      <c r="T35" s="46">
        <v>1439.9610864095407</v>
      </c>
      <c r="U35" s="46">
        <v>1440</v>
      </c>
      <c r="V35" s="46">
        <v>1439.9996847639477</v>
      </c>
      <c r="W35" s="47">
        <v>1440</v>
      </c>
      <c r="X35" s="46">
        <v>1440.0000339999999</v>
      </c>
      <c r="Y35" s="47">
        <v>1440</v>
      </c>
      <c r="Z35" s="46">
        <v>1440</v>
      </c>
      <c r="AA35" s="46">
        <v>1440</v>
      </c>
      <c r="AB35" s="46">
        <v>1440.0001023999998</v>
      </c>
      <c r="AC35" s="46">
        <v>1439.9999999999968</v>
      </c>
      <c r="AD35" s="46">
        <v>1440.0296573999999</v>
      </c>
      <c r="AE35" s="46">
        <v>1439.9999999999998</v>
      </c>
      <c r="AF35" s="46">
        <v>1439.9999999999998</v>
      </c>
      <c r="AG35" s="140"/>
      <c r="AH35" s="147">
        <v>1440</v>
      </c>
      <c r="AI35" s="158">
        <v>1440</v>
      </c>
      <c r="AJ35" s="147">
        <v>1440.0000190000001</v>
      </c>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c r="CY35" s="86"/>
      <c r="CZ35" s="86"/>
      <c r="DA35" s="86"/>
      <c r="DB35" s="86"/>
      <c r="DC35" s="86"/>
      <c r="DD35" s="86"/>
      <c r="DE35" s="86"/>
      <c r="DF35" s="86"/>
      <c r="DG35" s="86"/>
      <c r="DH35" s="86"/>
      <c r="DI35" s="86"/>
      <c r="DJ35" s="86"/>
      <c r="DK35" s="86"/>
      <c r="DL35" s="86"/>
      <c r="DM35" s="86"/>
      <c r="DN35" s="86"/>
      <c r="DO35" s="86"/>
      <c r="DP35" s="86"/>
      <c r="DQ35" s="86"/>
      <c r="DR35" s="86"/>
      <c r="DS35" s="86"/>
      <c r="DT35" s="86"/>
      <c r="DU35" s="86"/>
      <c r="DV35" s="86"/>
      <c r="DW35" s="86"/>
      <c r="DX35" s="86"/>
      <c r="DY35" s="86"/>
      <c r="DZ35" s="86"/>
      <c r="EA35" s="86"/>
      <c r="EB35" s="86"/>
      <c r="EC35" s="86"/>
      <c r="ED35" s="86"/>
      <c r="EE35" s="86"/>
      <c r="EF35" s="86"/>
      <c r="EG35" s="86"/>
      <c r="EH35" s="86"/>
      <c r="EI35" s="86"/>
      <c r="EJ35" s="86"/>
      <c r="EK35" s="86"/>
      <c r="EL35" s="86"/>
      <c r="EM35" s="86"/>
      <c r="EN35" s="86"/>
      <c r="EO35" s="86"/>
      <c r="EP35" s="86"/>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6"/>
      <c r="FO35" s="86"/>
      <c r="FP35" s="86"/>
      <c r="FQ35" s="86"/>
      <c r="FR35" s="86"/>
      <c r="FS35" s="86"/>
      <c r="FT35" s="86"/>
      <c r="FU35" s="86"/>
      <c r="FV35" s="86"/>
      <c r="FW35" s="86"/>
      <c r="FX35" s="86"/>
      <c r="FY35" s="86"/>
      <c r="FZ35" s="86"/>
      <c r="GA35" s="86"/>
      <c r="GB35" s="86"/>
      <c r="GC35" s="86"/>
      <c r="GD35" s="86"/>
      <c r="GE35" s="86"/>
      <c r="GF35" s="86"/>
      <c r="GG35" s="86"/>
      <c r="GH35" s="86"/>
      <c r="GI35" s="86"/>
      <c r="GJ35" s="86"/>
      <c r="GK35" s="86"/>
      <c r="GL35" s="86"/>
      <c r="GM35" s="86"/>
      <c r="GN35" s="86"/>
      <c r="GO35" s="86"/>
      <c r="GP35" s="86"/>
      <c r="GQ35" s="86"/>
      <c r="GR35" s="86"/>
      <c r="GS35" s="86"/>
      <c r="GT35" s="86"/>
      <c r="GU35" s="86"/>
      <c r="GV35" s="86"/>
      <c r="GW35" s="86"/>
      <c r="GX35" s="86"/>
      <c r="GY35" s="86"/>
      <c r="GZ35" s="86"/>
      <c r="HA35" s="86"/>
      <c r="HB35" s="86"/>
      <c r="HC35" s="86"/>
      <c r="HD35" s="86"/>
      <c r="HE35" s="86"/>
      <c r="HF35" s="86"/>
      <c r="HG35" s="86"/>
      <c r="HH35" s="86"/>
      <c r="HI35" s="86"/>
      <c r="HJ35" s="86"/>
      <c r="HK35" s="86"/>
      <c r="HL35" s="86"/>
      <c r="HM35" s="86"/>
      <c r="HN35" s="86"/>
      <c r="HO35" s="86"/>
      <c r="HP35" s="86"/>
      <c r="HQ35" s="86"/>
      <c r="HR35" s="86"/>
      <c r="HS35" s="86"/>
      <c r="HT35" s="86"/>
      <c r="HU35" s="86"/>
      <c r="HV35" s="86"/>
      <c r="HW35" s="86"/>
      <c r="HX35" s="86"/>
      <c r="HY35" s="86"/>
      <c r="HZ35" s="86"/>
      <c r="IA35" s="86"/>
      <c r="IB35" s="86"/>
      <c r="IC35" s="86"/>
      <c r="ID35" s="86"/>
      <c r="IE35" s="86"/>
      <c r="IF35" s="86"/>
      <c r="IG35" s="86"/>
      <c r="IH35" s="86"/>
      <c r="II35" s="86"/>
      <c r="IJ35" s="86"/>
      <c r="IK35" s="86"/>
      <c r="IL35" s="86"/>
      <c r="IM35" s="86"/>
    </row>
    <row r="36" spans="1:247" ht="9.9499999999999993" customHeight="1">
      <c r="A36" s="160" t="s">
        <v>502</v>
      </c>
      <c r="C36" s="91" t="s">
        <v>503</v>
      </c>
      <c r="D36" s="92"/>
      <c r="E36" s="91"/>
      <c r="F36" s="92"/>
      <c r="G36" s="92"/>
      <c r="H36" s="162"/>
      <c r="I36" s="92"/>
      <c r="J36" s="92"/>
      <c r="K36" s="92"/>
      <c r="L36" s="91"/>
      <c r="M36" s="91"/>
      <c r="N36" s="92"/>
      <c r="O36" s="92"/>
      <c r="P36" s="92"/>
      <c r="Q36" s="92"/>
      <c r="R36" s="92"/>
      <c r="S36" s="92"/>
      <c r="T36" s="92"/>
      <c r="U36" s="92"/>
      <c r="V36" s="92"/>
      <c r="W36" s="92"/>
      <c r="X36" s="92"/>
      <c r="Y36" s="91"/>
      <c r="Z36" s="92"/>
      <c r="AA36" s="92"/>
      <c r="AB36" s="92"/>
      <c r="AC36" s="91"/>
      <c r="AD36" s="91"/>
      <c r="AE36" s="92"/>
      <c r="AF36" s="92"/>
      <c r="AG36" s="86"/>
      <c r="AH36" s="91" t="s">
        <v>504</v>
      </c>
      <c r="AI36" s="93"/>
    </row>
    <row r="37" spans="1:247" ht="409.5">
      <c r="C37" s="190" t="s">
        <v>237</v>
      </c>
      <c r="D37" s="191"/>
      <c r="E37" s="190" t="s">
        <v>486</v>
      </c>
      <c r="F37" s="191"/>
      <c r="G37" s="191"/>
      <c r="H37" s="192" t="s">
        <v>486</v>
      </c>
      <c r="I37" s="191"/>
      <c r="J37" s="191"/>
      <c r="K37" s="191"/>
      <c r="L37" s="190" t="s">
        <v>486</v>
      </c>
      <c r="M37" s="190" t="s">
        <v>486</v>
      </c>
      <c r="N37" s="191"/>
      <c r="O37" s="191"/>
      <c r="P37" s="190" t="s">
        <v>561</v>
      </c>
      <c r="Q37" s="191"/>
      <c r="R37" s="193"/>
      <c r="S37" s="193" t="s">
        <v>488</v>
      </c>
      <c r="T37" s="193" t="s">
        <v>486</v>
      </c>
      <c r="U37" s="193" t="s">
        <v>555</v>
      </c>
      <c r="V37" s="194"/>
      <c r="W37" s="191"/>
      <c r="X37" s="195"/>
      <c r="Y37" s="190" t="s">
        <v>486</v>
      </c>
      <c r="Z37" s="191"/>
      <c r="AA37" s="194"/>
      <c r="AB37" s="191"/>
      <c r="AC37" s="194"/>
      <c r="AD37" s="190"/>
      <c r="AE37" s="191"/>
      <c r="AF37" s="150"/>
      <c r="AG37" s="92"/>
    </row>
    <row r="38" spans="1:247">
      <c r="C38" s="91"/>
      <c r="D38" s="92"/>
      <c r="E38" s="92"/>
      <c r="F38" s="92"/>
      <c r="G38" s="92"/>
      <c r="H38" s="162"/>
      <c r="I38" s="92"/>
      <c r="J38" s="92"/>
      <c r="K38" s="92"/>
      <c r="L38" s="91"/>
      <c r="M38" s="92"/>
      <c r="N38" s="92"/>
      <c r="O38" s="92"/>
      <c r="P38" s="92"/>
      <c r="Q38" s="92"/>
      <c r="R38" s="92"/>
      <c r="S38" s="92"/>
      <c r="T38" s="92"/>
      <c r="U38" s="92"/>
      <c r="V38" s="92"/>
      <c r="W38" s="92"/>
      <c r="X38" s="91"/>
      <c r="Y38" s="92"/>
      <c r="Z38" s="92"/>
      <c r="AA38" s="92"/>
      <c r="AB38" s="92"/>
      <c r="AC38" s="92"/>
      <c r="AD38" s="92"/>
      <c r="AE38" s="92"/>
      <c r="AG38" s="92"/>
    </row>
    <row r="39" spans="1:247">
      <c r="A39" s="164" t="s">
        <v>506</v>
      </c>
      <c r="B39" s="164"/>
      <c r="C39" s="164"/>
      <c r="D39" s="164"/>
      <c r="E39" s="164"/>
      <c r="P39" s="87"/>
      <c r="Q39" s="87"/>
      <c r="R39" s="87"/>
      <c r="S39" s="87"/>
      <c r="T39" s="87"/>
      <c r="V39" s="87"/>
      <c r="W39" s="87"/>
      <c r="X39" s="87"/>
      <c r="Y39" s="87"/>
    </row>
    <row r="40" spans="1:247">
      <c r="A40" s="164" t="s">
        <v>507</v>
      </c>
      <c r="O40" s="87"/>
      <c r="P40" s="87"/>
      <c r="Q40" s="87"/>
      <c r="R40" s="87"/>
      <c r="S40" s="87"/>
      <c r="T40" s="87"/>
      <c r="V40" s="87"/>
      <c r="W40" s="87"/>
      <c r="X40" s="87"/>
      <c r="Y40" s="87"/>
    </row>
    <row r="41" spans="1:247">
      <c r="C41" s="94"/>
      <c r="D41" s="94"/>
      <c r="E41" s="94"/>
      <c r="F41" s="94"/>
      <c r="G41" s="94"/>
      <c r="I41" s="94"/>
      <c r="J41" s="94"/>
      <c r="K41" s="94"/>
      <c r="L41" s="94"/>
      <c r="M41" s="94"/>
      <c r="N41" s="94"/>
      <c r="O41" s="94"/>
      <c r="P41" s="94"/>
      <c r="Q41" s="94"/>
      <c r="R41" s="94"/>
      <c r="S41" s="94"/>
      <c r="T41" s="94"/>
      <c r="U41" s="94"/>
      <c r="V41" s="94"/>
      <c r="W41" s="94"/>
      <c r="X41" s="94"/>
      <c r="Y41" s="94"/>
      <c r="Z41" s="94"/>
      <c r="AA41" s="94"/>
      <c r="AB41" s="94"/>
      <c r="AC41" s="94"/>
      <c r="AD41" s="94"/>
      <c r="AE41" s="94"/>
      <c r="AG41" s="94"/>
    </row>
    <row r="42" spans="1:247" s="132" customFormat="1" ht="12.75">
      <c r="A42" s="131" t="s">
        <v>508</v>
      </c>
      <c r="AG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row>
    <row r="43" spans="1:247">
      <c r="A43" s="165" t="s">
        <v>509</v>
      </c>
      <c r="B43" s="163"/>
      <c r="C43" s="163"/>
      <c r="D43" s="163"/>
      <c r="E43" s="163"/>
      <c r="F43" s="163"/>
      <c r="H43" s="88"/>
      <c r="O43" s="87"/>
      <c r="P43" s="87"/>
      <c r="Q43" s="87"/>
      <c r="R43" s="87"/>
      <c r="S43" s="87"/>
      <c r="T43" s="87"/>
      <c r="V43" s="87"/>
      <c r="W43" s="87"/>
      <c r="X43" s="87"/>
      <c r="Y43" s="87"/>
      <c r="AH43" s="87"/>
      <c r="AI43" s="93"/>
    </row>
    <row r="44" spans="1:247" ht="22.5">
      <c r="A44" s="136" t="s">
        <v>510</v>
      </c>
      <c r="B44" s="137" t="s">
        <v>511</v>
      </c>
      <c r="C44" s="177" t="s">
        <v>236</v>
      </c>
      <c r="D44" s="26" t="s">
        <v>34</v>
      </c>
      <c r="E44" s="27" t="s">
        <v>227</v>
      </c>
      <c r="F44" s="27" t="s">
        <v>39</v>
      </c>
      <c r="G44" s="26" t="s">
        <v>238</v>
      </c>
      <c r="H44" s="27" t="s">
        <v>527</v>
      </c>
      <c r="I44" s="26" t="s">
        <v>40</v>
      </c>
      <c r="J44" s="27" t="s">
        <v>42</v>
      </c>
      <c r="K44" s="26" t="s">
        <v>43</v>
      </c>
      <c r="L44" s="27" t="s">
        <v>228</v>
      </c>
      <c r="M44" s="27" t="s">
        <v>249</v>
      </c>
      <c r="N44" s="26" t="s">
        <v>240</v>
      </c>
      <c r="O44" s="26" t="s">
        <v>47</v>
      </c>
      <c r="P44" s="27" t="s">
        <v>45</v>
      </c>
      <c r="Q44" s="27" t="s">
        <v>242</v>
      </c>
      <c r="R44" s="27" t="s">
        <v>52</v>
      </c>
      <c r="S44" s="27" t="s">
        <v>487</v>
      </c>
      <c r="T44" s="27" t="s">
        <v>485</v>
      </c>
      <c r="U44" s="26" t="s">
        <v>554</v>
      </c>
      <c r="V44" s="26" t="s">
        <v>243</v>
      </c>
      <c r="W44" s="27" t="s">
        <v>244</v>
      </c>
      <c r="X44" s="26" t="s">
        <v>50</v>
      </c>
      <c r="Y44" s="27" t="s">
        <v>229</v>
      </c>
      <c r="Z44" s="26" t="s">
        <v>245</v>
      </c>
      <c r="AA44" s="26" t="s">
        <v>246</v>
      </c>
      <c r="AB44" s="26" t="s">
        <v>53</v>
      </c>
      <c r="AC44" s="26" t="s">
        <v>417</v>
      </c>
      <c r="AD44" s="26" t="s">
        <v>603</v>
      </c>
      <c r="AE44" s="27" t="s">
        <v>499</v>
      </c>
      <c r="AF44" s="27" t="s">
        <v>500</v>
      </c>
      <c r="AG44" s="99"/>
      <c r="AH44" s="26" t="s">
        <v>345</v>
      </c>
      <c r="AI44" s="27" t="s">
        <v>342</v>
      </c>
      <c r="AJ44" s="27" t="s">
        <v>343</v>
      </c>
    </row>
    <row r="45" spans="1:247" ht="9.9499999999999993" customHeight="1">
      <c r="A45" s="141"/>
      <c r="B45" s="142"/>
      <c r="C45" s="178">
        <v>2006</v>
      </c>
      <c r="D45" s="27" t="s">
        <v>562</v>
      </c>
      <c r="E45" s="27">
        <v>2013</v>
      </c>
      <c r="F45" s="27">
        <v>2015</v>
      </c>
      <c r="G45" s="27">
        <v>2001</v>
      </c>
      <c r="H45" s="27" t="s">
        <v>41</v>
      </c>
      <c r="I45" s="27" t="s">
        <v>41</v>
      </c>
      <c r="J45" s="27" t="s">
        <v>41</v>
      </c>
      <c r="K45" s="27" t="s">
        <v>44</v>
      </c>
      <c r="L45" s="27">
        <v>2013</v>
      </c>
      <c r="M45" s="27">
        <v>2010</v>
      </c>
      <c r="N45" s="27">
        <v>2005</v>
      </c>
      <c r="O45" s="27" t="s">
        <v>48</v>
      </c>
      <c r="P45" s="27">
        <v>2021</v>
      </c>
      <c r="Q45" s="27">
        <v>2014</v>
      </c>
      <c r="R45" s="27">
        <v>2003</v>
      </c>
      <c r="S45" s="27">
        <v>2003</v>
      </c>
      <c r="T45" s="27">
        <v>2013</v>
      </c>
      <c r="U45" s="27">
        <v>2014</v>
      </c>
      <c r="V45" s="27">
        <v>2016</v>
      </c>
      <c r="W45" s="27" t="s">
        <v>41</v>
      </c>
      <c r="X45" s="27" t="s">
        <v>51</v>
      </c>
      <c r="Y45" s="27">
        <v>2013</v>
      </c>
      <c r="Z45" s="27">
        <v>1999</v>
      </c>
      <c r="AA45" s="27" t="s">
        <v>247</v>
      </c>
      <c r="AB45" s="27" t="s">
        <v>41</v>
      </c>
      <c r="AC45" s="27">
        <v>2010</v>
      </c>
      <c r="AD45" s="27" t="s">
        <v>54</v>
      </c>
      <c r="AE45" s="27" t="s">
        <v>55</v>
      </c>
      <c r="AF45" s="27">
        <v>2022</v>
      </c>
      <c r="AG45" s="99"/>
      <c r="AH45" s="27">
        <v>2008</v>
      </c>
      <c r="AI45" s="27" t="s">
        <v>403</v>
      </c>
      <c r="AJ45" s="27">
        <v>2010</v>
      </c>
    </row>
    <row r="46" spans="1:247" s="149" customFormat="1" ht="9.9499999999999993" customHeight="1">
      <c r="A46" s="145">
        <v>1</v>
      </c>
      <c r="B46" s="201" t="s">
        <v>3</v>
      </c>
      <c r="C46" s="197">
        <v>304.05574912891984</v>
      </c>
      <c r="D46" s="197">
        <v>311.85469000000001</v>
      </c>
      <c r="E46" s="187">
        <v>273.70408188101857</v>
      </c>
      <c r="F46" s="187">
        <v>340.51253168103125</v>
      </c>
      <c r="G46" s="197">
        <v>260.06775092011873</v>
      </c>
      <c r="H46" s="187">
        <v>264.07235769238264</v>
      </c>
      <c r="I46" s="197">
        <v>248.55974399999997</v>
      </c>
      <c r="J46" s="187">
        <v>235.13206520974788</v>
      </c>
      <c r="K46" s="197">
        <v>289.53188683333337</v>
      </c>
      <c r="L46" s="187">
        <v>274.27157313998765</v>
      </c>
      <c r="M46" s="187">
        <v>272.6571112996856</v>
      </c>
      <c r="N46" s="187">
        <v>340.81053000000003</v>
      </c>
      <c r="O46" s="187">
        <v>220.81396676153466</v>
      </c>
      <c r="P46" s="187">
        <v>442</v>
      </c>
      <c r="Q46" s="187">
        <v>418.98608986486732</v>
      </c>
      <c r="R46" s="187">
        <v>376.93106909732001</v>
      </c>
      <c r="S46" s="187">
        <v>354.26273205205433</v>
      </c>
      <c r="T46" s="187">
        <v>329.99501858754644</v>
      </c>
      <c r="U46" s="187">
        <v>478.332964</v>
      </c>
      <c r="V46" s="197">
        <v>284.93920573115003</v>
      </c>
      <c r="W46" s="187">
        <v>338</v>
      </c>
      <c r="X46" s="197">
        <v>277.38289900000001</v>
      </c>
      <c r="Y46" s="187">
        <v>314.79718151512526</v>
      </c>
      <c r="Z46" s="197">
        <v>372.32704402515719</v>
      </c>
      <c r="AA46" s="187">
        <v>299.83286908077991</v>
      </c>
      <c r="AB46" s="197">
        <v>236.2291275</v>
      </c>
      <c r="AC46" s="187">
        <v>313</v>
      </c>
      <c r="AD46" s="187">
        <v>358.25011049999995</v>
      </c>
      <c r="AE46" s="187">
        <v>308.61597517412645</v>
      </c>
      <c r="AF46" s="187">
        <v>320.33460106799998</v>
      </c>
      <c r="AG46" s="140"/>
      <c r="AH46" s="147">
        <v>390</v>
      </c>
      <c r="AI46" s="147">
        <v>390.57108730200252</v>
      </c>
      <c r="AJ46" s="147">
        <v>294.16316999999998</v>
      </c>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c r="CY46" s="86"/>
      <c r="CZ46" s="86"/>
      <c r="DA46" s="86"/>
      <c r="DB46" s="86"/>
      <c r="DC46" s="86"/>
      <c r="DD46" s="86"/>
      <c r="DE46" s="86"/>
      <c r="DF46" s="86"/>
      <c r="DG46" s="86"/>
      <c r="DH46" s="86"/>
      <c r="DI46" s="86"/>
      <c r="DJ46" s="86"/>
      <c r="DK46" s="86"/>
      <c r="DL46" s="86"/>
      <c r="DM46" s="86"/>
      <c r="DN46" s="86"/>
      <c r="DO46" s="86"/>
      <c r="DP46" s="86"/>
      <c r="DQ46" s="86"/>
      <c r="DR46" s="86"/>
      <c r="DS46" s="86"/>
      <c r="DT46" s="86"/>
      <c r="DU46" s="86"/>
      <c r="DV46" s="86"/>
      <c r="DW46" s="86"/>
      <c r="DX46" s="86"/>
      <c r="DY46" s="86"/>
      <c r="DZ46" s="86"/>
      <c r="EA46" s="86"/>
      <c r="EB46" s="86"/>
      <c r="EC46" s="86"/>
      <c r="ED46" s="86"/>
      <c r="EE46" s="86"/>
      <c r="EF46" s="86"/>
      <c r="EG46" s="86"/>
      <c r="EH46" s="86"/>
      <c r="EI46" s="86"/>
      <c r="EJ46" s="86"/>
      <c r="EK46" s="86"/>
      <c r="EL46" s="86"/>
      <c r="EM46" s="86"/>
      <c r="EN46" s="86"/>
      <c r="EO46" s="86"/>
      <c r="EP46" s="86"/>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6"/>
      <c r="FO46" s="86"/>
      <c r="FP46" s="86"/>
      <c r="FQ46" s="86"/>
      <c r="FR46" s="86"/>
      <c r="FS46" s="86"/>
      <c r="FT46" s="86"/>
      <c r="FU46" s="86"/>
      <c r="FV46" s="86"/>
      <c r="FW46" s="86"/>
      <c r="FX46" s="86"/>
      <c r="FY46" s="86"/>
      <c r="FZ46" s="86"/>
      <c r="GA46" s="86"/>
      <c r="GB46" s="86"/>
      <c r="GC46" s="86"/>
      <c r="GD46" s="86"/>
      <c r="GE46" s="86"/>
      <c r="GF46" s="86"/>
      <c r="GG46" s="86"/>
      <c r="GH46" s="86"/>
      <c r="GI46" s="86"/>
      <c r="GJ46" s="86"/>
      <c r="GK46" s="86"/>
      <c r="GL46" s="86"/>
      <c r="GM46" s="86"/>
      <c r="GN46" s="86"/>
      <c r="GO46" s="86"/>
      <c r="GP46" s="86"/>
      <c r="GQ46" s="86"/>
      <c r="GR46" s="86"/>
      <c r="GS46" s="86"/>
      <c r="GT46" s="86"/>
      <c r="GU46" s="86"/>
      <c r="GV46" s="86"/>
      <c r="GW46" s="86"/>
      <c r="GX46" s="86"/>
      <c r="GY46" s="86"/>
      <c r="GZ46" s="86"/>
      <c r="HA46" s="86"/>
      <c r="HB46" s="86"/>
      <c r="HC46" s="86"/>
      <c r="HD46" s="86"/>
      <c r="HE46" s="86"/>
      <c r="HF46" s="86"/>
      <c r="HG46" s="86"/>
      <c r="HH46" s="86"/>
      <c r="HI46" s="86"/>
      <c r="HJ46" s="86"/>
      <c r="HK46" s="86"/>
      <c r="HL46" s="86"/>
      <c r="HM46" s="86"/>
      <c r="HN46" s="86"/>
      <c r="HO46" s="86"/>
      <c r="HP46" s="86"/>
      <c r="HQ46" s="86"/>
      <c r="HR46" s="86"/>
      <c r="HS46" s="86"/>
      <c r="HT46" s="86"/>
      <c r="HU46" s="86"/>
      <c r="HV46" s="86"/>
      <c r="HW46" s="86"/>
      <c r="HX46" s="86"/>
      <c r="HY46" s="86"/>
      <c r="HZ46" s="86"/>
      <c r="IA46" s="86"/>
      <c r="IB46" s="86"/>
      <c r="IC46" s="86"/>
      <c r="ID46" s="86"/>
      <c r="IE46" s="86"/>
      <c r="IF46" s="86"/>
      <c r="IG46" s="86"/>
      <c r="IH46" s="86"/>
      <c r="II46" s="86"/>
      <c r="IJ46" s="86"/>
      <c r="IK46" s="86"/>
      <c r="IL46" s="86"/>
      <c r="IM46" s="86"/>
    </row>
    <row r="47" spans="1:247" ht="9.9499999999999993" customHeight="1">
      <c r="A47" s="150">
        <v>1.1000000000000001</v>
      </c>
      <c r="B47" s="202" t="s">
        <v>4</v>
      </c>
      <c r="C47" s="40">
        <v>247.86062717770034</v>
      </c>
      <c r="D47" s="40">
        <v>253.141454141601</v>
      </c>
      <c r="E47" s="67">
        <v>203.29880702494933</v>
      </c>
      <c r="F47" s="67">
        <v>270.13480113605004</v>
      </c>
      <c r="G47" s="40">
        <v>211.40338919194625</v>
      </c>
      <c r="H47" s="67">
        <v>210.91342237524756</v>
      </c>
      <c r="I47" s="40">
        <v>197.61779999999999</v>
      </c>
      <c r="J47" s="67">
        <v>173.53590915883964</v>
      </c>
      <c r="K47" s="40">
        <v>226.72183333333334</v>
      </c>
      <c r="L47" s="67">
        <v>210.43986033368455</v>
      </c>
      <c r="M47" s="67">
        <v>200.38914627088025</v>
      </c>
      <c r="N47" s="67">
        <v>276.5521</v>
      </c>
      <c r="O47" s="67">
        <v>160.06779896173265</v>
      </c>
      <c r="P47" s="67">
        <v>360</v>
      </c>
      <c r="Q47" s="67">
        <v>287.01290295927396</v>
      </c>
      <c r="R47" s="67">
        <v>323.2510203232564</v>
      </c>
      <c r="S47" s="67">
        <v>311.49861509100811</v>
      </c>
      <c r="T47" s="67">
        <v>254.4569125999549</v>
      </c>
      <c r="U47" s="67">
        <v>374.6474</v>
      </c>
      <c r="V47" s="41">
        <v>219.92576161462301</v>
      </c>
      <c r="W47" s="67">
        <v>279</v>
      </c>
      <c r="X47" s="41">
        <v>199.16380000000001</v>
      </c>
      <c r="Y47" s="67">
        <v>253.79618157006018</v>
      </c>
      <c r="Z47" s="40">
        <v>299.87421383647802</v>
      </c>
      <c r="AA47" s="67">
        <v>235.65459610027855</v>
      </c>
      <c r="AB47" s="40">
        <v>180.9965</v>
      </c>
      <c r="AC47" s="67">
        <v>251</v>
      </c>
      <c r="AD47" s="67">
        <v>287.17469999999997</v>
      </c>
      <c r="AE47" s="67">
        <v>228.19170826711277</v>
      </c>
      <c r="AF47" s="67">
        <v>266.03049493200001</v>
      </c>
      <c r="AG47" s="140"/>
      <c r="AH47" s="138">
        <v>308</v>
      </c>
      <c r="AI47" s="138">
        <v>318.10182471090383</v>
      </c>
      <c r="AJ47" s="138">
        <v>195.58459999999999</v>
      </c>
    </row>
    <row r="48" spans="1:247" ht="9.9499999999999993" customHeight="1">
      <c r="A48" s="150">
        <v>1.2</v>
      </c>
      <c r="B48" s="202" t="s">
        <v>5</v>
      </c>
      <c r="C48" s="40">
        <v>31.10801393728223</v>
      </c>
      <c r="D48" s="40">
        <v>27.589427442089999</v>
      </c>
      <c r="E48" s="67">
        <v>29.196107860771392</v>
      </c>
      <c r="F48" s="67">
        <v>32.605672360565123</v>
      </c>
      <c r="G48" s="40">
        <v>28.714902606008341</v>
      </c>
      <c r="H48" s="67">
        <v>29.787094865433026</v>
      </c>
      <c r="I48" s="40">
        <v>21.318629999999999</v>
      </c>
      <c r="J48" s="67">
        <v>26.332791389786212</v>
      </c>
      <c r="K48" s="40">
        <v>32.576433333333334</v>
      </c>
      <c r="L48" s="67">
        <v>27.532388094835525</v>
      </c>
      <c r="M48" s="67">
        <v>33.104656058529578</v>
      </c>
      <c r="N48" s="67">
        <v>25.89442</v>
      </c>
      <c r="O48" s="67">
        <v>26.671117992286337</v>
      </c>
      <c r="P48" s="67">
        <v>48</v>
      </c>
      <c r="Q48" s="67">
        <v>72.375644658120549</v>
      </c>
      <c r="R48" s="67">
        <v>42.549802441893895</v>
      </c>
      <c r="S48" s="67">
        <v>32.797099171519214</v>
      </c>
      <c r="T48" s="67">
        <v>37.928159573723271</v>
      </c>
      <c r="U48" s="67">
        <v>53.508018</v>
      </c>
      <c r="V48" s="41">
        <v>36.242127760853009</v>
      </c>
      <c r="W48" s="67">
        <v>29.000000000000004</v>
      </c>
      <c r="X48" s="41">
        <v>35.768050000000002</v>
      </c>
      <c r="Y48" s="67">
        <v>31.536376704448244</v>
      </c>
      <c r="Z48" s="40">
        <v>32.20125786163522</v>
      </c>
      <c r="AA48" s="67">
        <v>28.077994428969362</v>
      </c>
      <c r="AB48" s="40">
        <v>24.225739999999998</v>
      </c>
      <c r="AC48" s="67">
        <v>33</v>
      </c>
      <c r="AD48" s="67">
        <v>43.521929999999998</v>
      </c>
      <c r="AE48" s="67">
        <v>48.832885442227642</v>
      </c>
      <c r="AF48" s="67">
        <v>22.662165689999998</v>
      </c>
      <c r="AG48" s="140"/>
      <c r="AH48" s="138">
        <v>56</v>
      </c>
      <c r="AI48" s="138">
        <v>44.437603494787645</v>
      </c>
      <c r="AJ48" s="138">
        <v>44.359389999999998</v>
      </c>
    </row>
    <row r="49" spans="1:247" ht="9.9499999999999993" customHeight="1">
      <c r="A49" s="150">
        <v>1.3</v>
      </c>
      <c r="B49" s="202" t="s">
        <v>6</v>
      </c>
      <c r="C49" s="40">
        <v>15.05226480836237</v>
      </c>
      <c r="D49" s="40">
        <v>16.3373893573829</v>
      </c>
      <c r="E49" s="67">
        <v>27.884721212837107</v>
      </c>
      <c r="F49" s="67">
        <v>21.282702843546993</v>
      </c>
      <c r="G49" s="40">
        <v>12.821433903650835</v>
      </c>
      <c r="H49" s="67">
        <v>23.371840451702059</v>
      </c>
      <c r="I49" s="40">
        <v>27.553460000000001</v>
      </c>
      <c r="J49" s="67">
        <v>23.771111254586426</v>
      </c>
      <c r="K49" s="40">
        <v>14.673765</v>
      </c>
      <c r="L49" s="67">
        <v>22.097470921613628</v>
      </c>
      <c r="M49" s="67">
        <v>29.067934239590507</v>
      </c>
      <c r="N49" s="67">
        <v>38.36401</v>
      </c>
      <c r="O49" s="67">
        <v>13.680502188788283</v>
      </c>
      <c r="P49" s="230">
        <v>34</v>
      </c>
      <c r="Q49" s="67">
        <v>39.035378422701854</v>
      </c>
      <c r="R49" s="67">
        <v>7.8793261096083844</v>
      </c>
      <c r="S49" s="67">
        <v>7.8671963349007017</v>
      </c>
      <c r="T49" s="67">
        <v>24.572923648972427</v>
      </c>
      <c r="U49" s="67">
        <v>36.760010000000001</v>
      </c>
      <c r="V49" s="41">
        <v>14.715085681645087</v>
      </c>
      <c r="W49" s="67">
        <v>21</v>
      </c>
      <c r="X49" s="41">
        <v>34.6145</v>
      </c>
      <c r="Y49" s="67">
        <v>21.156128849110129</v>
      </c>
      <c r="Z49" s="40">
        <v>32.20125786163522</v>
      </c>
      <c r="AA49" s="67">
        <v>21.058495821727018</v>
      </c>
      <c r="AB49" s="40">
        <v>18.474699999999999</v>
      </c>
      <c r="AC49" s="67">
        <v>30</v>
      </c>
      <c r="AD49" s="67">
        <v>17.400289999999998</v>
      </c>
      <c r="AE49" s="67">
        <v>15.032787503801444</v>
      </c>
      <c r="AF49" s="67">
        <v>16.123993584000001</v>
      </c>
      <c r="AG49" s="140"/>
      <c r="AH49" s="138">
        <v>25.999999999999996</v>
      </c>
      <c r="AI49" s="138">
        <v>14.070235419235608</v>
      </c>
      <c r="AJ49" s="138">
        <v>29.769069999999999</v>
      </c>
    </row>
    <row r="50" spans="1:247" ht="9.9499999999999993" customHeight="1">
      <c r="A50" s="150">
        <v>1.4</v>
      </c>
      <c r="B50" s="203" t="s">
        <v>7</v>
      </c>
      <c r="C50" s="40">
        <v>10.034843205574912</v>
      </c>
      <c r="D50" s="40">
        <v>9.7764731699900604</v>
      </c>
      <c r="E50" s="67">
        <v>13.324445782460776</v>
      </c>
      <c r="F50" s="67">
        <v>14.340403196581557</v>
      </c>
      <c r="G50" s="40">
        <v>7.1280252185133541</v>
      </c>
      <c r="H50" s="67">
        <v>0</v>
      </c>
      <c r="I50" s="40" t="s">
        <v>248</v>
      </c>
      <c r="J50" s="67">
        <v>8.1801534317303215</v>
      </c>
      <c r="K50" s="40">
        <v>10.02961</v>
      </c>
      <c r="L50" s="67">
        <v>14.201853789853917</v>
      </c>
      <c r="M50" s="67">
        <v>10.095374730685233</v>
      </c>
      <c r="N50" s="67" t="s">
        <v>248</v>
      </c>
      <c r="O50" s="67">
        <v>13.105708673168623</v>
      </c>
      <c r="P50" s="230"/>
      <c r="Q50" s="67">
        <v>20.562163824770941</v>
      </c>
      <c r="R50" s="67">
        <v>3.2509202225613829</v>
      </c>
      <c r="S50" s="67">
        <v>2.0998214546262557</v>
      </c>
      <c r="T50" s="67">
        <v>13.037022764895868</v>
      </c>
      <c r="U50" s="67">
        <v>10.79542</v>
      </c>
      <c r="V50" s="40">
        <v>10.788972772277228</v>
      </c>
      <c r="W50" s="67">
        <v>10</v>
      </c>
      <c r="X50" s="40">
        <v>3.5590579999999998</v>
      </c>
      <c r="Y50" s="67">
        <v>8.3084943915066773</v>
      </c>
      <c r="Z50" s="40">
        <v>8.050314465408805</v>
      </c>
      <c r="AA50" s="67">
        <v>15.041782729805014</v>
      </c>
      <c r="AB50" s="40">
        <v>8.1429559999999999</v>
      </c>
      <c r="AC50" s="67" t="s">
        <v>248</v>
      </c>
      <c r="AD50" s="67">
        <v>9.9511190000000003</v>
      </c>
      <c r="AE50" s="67">
        <v>13.670893827591474</v>
      </c>
      <c r="AF50" s="67">
        <v>11.05203846</v>
      </c>
      <c r="AG50" s="140"/>
      <c r="AH50" s="138" t="s">
        <v>248</v>
      </c>
      <c r="AI50" s="138">
        <v>13.961423677075464</v>
      </c>
      <c r="AJ50" s="138">
        <v>13.246880000000001</v>
      </c>
    </row>
    <row r="51" spans="1:247" ht="9.9499999999999993" customHeight="1">
      <c r="A51" s="150">
        <v>1.5</v>
      </c>
      <c r="B51" s="203" t="s">
        <v>8</v>
      </c>
      <c r="C51" s="67" t="s">
        <v>248</v>
      </c>
      <c r="D51" s="40">
        <v>1.9496351322659899</v>
      </c>
      <c r="E51" s="67" t="s">
        <v>248</v>
      </c>
      <c r="F51" s="67">
        <v>2.1489521442875734</v>
      </c>
      <c r="G51" s="40" t="s">
        <v>248</v>
      </c>
      <c r="H51" s="67" t="s">
        <v>248</v>
      </c>
      <c r="I51" s="40" t="s">
        <v>248</v>
      </c>
      <c r="J51" s="67">
        <v>2.7758911465053662</v>
      </c>
      <c r="K51" s="40">
        <v>0.58771016666666676</v>
      </c>
      <c r="L51" s="121" t="s">
        <v>248</v>
      </c>
      <c r="M51" s="67" t="s">
        <v>248</v>
      </c>
      <c r="N51" s="67" t="s">
        <v>248</v>
      </c>
      <c r="O51" s="67">
        <v>3.9708992459972743</v>
      </c>
      <c r="P51" s="67" t="s">
        <v>248</v>
      </c>
      <c r="Q51" s="67" t="s">
        <v>248</v>
      </c>
      <c r="R51" s="67" t="s">
        <v>248</v>
      </c>
      <c r="S51" s="67" t="s">
        <v>248</v>
      </c>
      <c r="T51" s="67" t="s">
        <v>248</v>
      </c>
      <c r="U51" s="67">
        <v>2.6221160000000001</v>
      </c>
      <c r="V51" s="40">
        <v>0.81487528560548361</v>
      </c>
      <c r="W51" s="67" t="s">
        <v>248</v>
      </c>
      <c r="X51" s="40" t="s">
        <v>248</v>
      </c>
      <c r="Y51" s="67" t="s">
        <v>248</v>
      </c>
      <c r="Z51" s="67" t="s">
        <v>248</v>
      </c>
      <c r="AA51" s="67" t="s">
        <v>248</v>
      </c>
      <c r="AB51" s="40">
        <v>3.8203749999999999</v>
      </c>
      <c r="AC51" s="67" t="s">
        <v>248</v>
      </c>
      <c r="AD51" s="67" t="s">
        <v>248</v>
      </c>
      <c r="AE51" s="67">
        <v>2.1933258319729219</v>
      </c>
      <c r="AF51" s="67">
        <v>2.097794028</v>
      </c>
      <c r="AG51" s="140"/>
      <c r="AH51" s="138" t="s">
        <v>248</v>
      </c>
      <c r="AI51" s="138" t="s">
        <v>248</v>
      </c>
      <c r="AJ51" s="138" t="s">
        <v>248</v>
      </c>
    </row>
    <row r="52" spans="1:247" ht="9.9499999999999993" customHeight="1">
      <c r="A52" s="150">
        <v>1.6</v>
      </c>
      <c r="B52" s="203" t="s">
        <v>9</v>
      </c>
      <c r="C52" s="67" t="s">
        <v>248</v>
      </c>
      <c r="D52" s="40">
        <v>3.0603087290897601</v>
      </c>
      <c r="E52" s="67" t="s">
        <v>248</v>
      </c>
      <c r="F52" s="67" t="s">
        <v>248</v>
      </c>
      <c r="G52" s="40" t="s">
        <v>248</v>
      </c>
      <c r="H52" s="67" t="s">
        <v>248</v>
      </c>
      <c r="I52" s="40">
        <v>2.0698539999999999</v>
      </c>
      <c r="J52" s="67">
        <v>0.53620882829991046</v>
      </c>
      <c r="K52" s="40">
        <v>4.9425350000000003</v>
      </c>
      <c r="L52" s="121" t="s">
        <v>248</v>
      </c>
      <c r="M52" s="67" t="s">
        <v>248</v>
      </c>
      <c r="N52" s="67" t="s">
        <v>248</v>
      </c>
      <c r="O52" s="67">
        <v>3.3179396995615025</v>
      </c>
      <c r="P52" s="67" t="s">
        <v>248</v>
      </c>
      <c r="Q52" s="67" t="s">
        <v>248</v>
      </c>
      <c r="R52" s="67" t="s">
        <v>248</v>
      </c>
      <c r="S52" s="67" t="s">
        <v>248</v>
      </c>
      <c r="T52" s="67" t="s">
        <v>248</v>
      </c>
      <c r="U52" s="67" t="s">
        <v>248</v>
      </c>
      <c r="V52" s="40">
        <v>2.4523826161462292</v>
      </c>
      <c r="W52" s="67" t="s">
        <v>248</v>
      </c>
      <c r="X52" s="40">
        <v>4.2774910000000004</v>
      </c>
      <c r="Y52" s="67" t="s">
        <v>248</v>
      </c>
      <c r="Z52" s="67" t="s">
        <v>248</v>
      </c>
      <c r="AA52" s="67" t="s">
        <v>248</v>
      </c>
      <c r="AB52" s="40">
        <v>0.56885649999999999</v>
      </c>
      <c r="AC52" s="67" t="s">
        <v>248</v>
      </c>
      <c r="AD52" s="67">
        <v>0</v>
      </c>
      <c r="AE52" s="67">
        <v>0.69437430142018386</v>
      </c>
      <c r="AF52" s="67">
        <v>2.3681143740000001</v>
      </c>
      <c r="AG52" s="140"/>
      <c r="AH52" s="138" t="s">
        <v>248</v>
      </c>
      <c r="AI52" s="138" t="s">
        <v>248</v>
      </c>
      <c r="AJ52" s="138">
        <v>11.20323</v>
      </c>
    </row>
    <row r="53" spans="1:247" s="149" customFormat="1" ht="9.9499999999999993" customHeight="1">
      <c r="A53" s="145">
        <v>2</v>
      </c>
      <c r="B53" s="204" t="s">
        <v>10</v>
      </c>
      <c r="C53" s="198">
        <v>171.595818815331</v>
      </c>
      <c r="D53" s="198">
        <v>138.51472999999999</v>
      </c>
      <c r="E53" s="189">
        <v>144.17237847897221</v>
      </c>
      <c r="F53" s="189">
        <v>148.13789751589471</v>
      </c>
      <c r="G53" s="198">
        <v>186.1360818597189</v>
      </c>
      <c r="H53" s="189">
        <v>160.16359010630146</v>
      </c>
      <c r="I53" s="198">
        <v>157.46491529999997</v>
      </c>
      <c r="J53" s="189">
        <v>134.93945332180451</v>
      </c>
      <c r="K53" s="198">
        <v>150.43200616666667</v>
      </c>
      <c r="L53" s="189">
        <v>95.084072745637627</v>
      </c>
      <c r="M53" s="189">
        <v>162.34104598012914</v>
      </c>
      <c r="N53" s="189">
        <v>126.97815100000001</v>
      </c>
      <c r="O53" s="189">
        <v>130.70904349081948</v>
      </c>
      <c r="P53" s="189">
        <v>47</v>
      </c>
      <c r="Q53" s="189">
        <v>48.994484860827207</v>
      </c>
      <c r="R53" s="189">
        <v>129.72689715060244</v>
      </c>
      <c r="S53" s="189">
        <v>151.61080552029992</v>
      </c>
      <c r="T53" s="189">
        <v>121.07518141647196</v>
      </c>
      <c r="U53" s="189">
        <v>131.41921500000001</v>
      </c>
      <c r="V53" s="198">
        <v>145.41706987814166</v>
      </c>
      <c r="W53" s="189">
        <v>141</v>
      </c>
      <c r="X53" s="198">
        <v>168.486943</v>
      </c>
      <c r="Y53" s="189">
        <v>158.78271641390862</v>
      </c>
      <c r="Z53" s="198">
        <v>96.268343815513632</v>
      </c>
      <c r="AA53" s="189">
        <v>166.46239554317549</v>
      </c>
      <c r="AB53" s="198">
        <v>145.90931270000002</v>
      </c>
      <c r="AC53" s="189">
        <v>171</v>
      </c>
      <c r="AD53" s="189">
        <v>67.591738899999996</v>
      </c>
      <c r="AE53" s="189">
        <v>140.08179519029616</v>
      </c>
      <c r="AF53" s="189">
        <v>145.41348445199998</v>
      </c>
      <c r="AG53" s="140"/>
      <c r="AH53" s="147">
        <v>91</v>
      </c>
      <c r="AI53" s="147">
        <v>51.767242334305003</v>
      </c>
      <c r="AJ53" s="147">
        <v>102.93914110000001</v>
      </c>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c r="CY53" s="86"/>
      <c r="CZ53" s="86"/>
      <c r="DA53" s="86"/>
      <c r="DB53" s="86"/>
      <c r="DC53" s="86"/>
      <c r="DD53" s="86"/>
      <c r="DE53" s="86"/>
      <c r="DF53" s="86"/>
      <c r="DG53" s="86"/>
      <c r="DH53" s="86"/>
      <c r="DI53" s="86"/>
      <c r="DJ53" s="86"/>
      <c r="DK53" s="86"/>
      <c r="DL53" s="86"/>
      <c r="DM53" s="86"/>
      <c r="DN53" s="86"/>
      <c r="DO53" s="86"/>
      <c r="DP53" s="86"/>
      <c r="DQ53" s="86"/>
      <c r="DR53" s="86"/>
      <c r="DS53" s="86"/>
      <c r="DT53" s="86"/>
      <c r="DU53" s="86"/>
      <c r="DV53" s="86"/>
      <c r="DW53" s="86"/>
      <c r="DX53" s="86"/>
      <c r="DY53" s="86"/>
      <c r="DZ53" s="86"/>
      <c r="EA53" s="86"/>
      <c r="EB53" s="86"/>
      <c r="EC53" s="86"/>
      <c r="ED53" s="86"/>
      <c r="EE53" s="86"/>
      <c r="EF53" s="86"/>
      <c r="EG53" s="86"/>
      <c r="EH53" s="86"/>
      <c r="EI53" s="86"/>
      <c r="EJ53" s="86"/>
      <c r="EK53" s="86"/>
      <c r="EL53" s="86"/>
      <c r="EM53" s="86"/>
      <c r="EN53" s="86"/>
      <c r="EO53" s="86"/>
      <c r="EP53" s="86"/>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6"/>
      <c r="FO53" s="86"/>
      <c r="FP53" s="86"/>
      <c r="FQ53" s="86"/>
      <c r="FR53" s="86"/>
      <c r="FS53" s="86"/>
      <c r="FT53" s="86"/>
      <c r="FU53" s="86"/>
      <c r="FV53" s="86"/>
      <c r="FW53" s="86"/>
      <c r="FX53" s="86"/>
      <c r="FY53" s="86"/>
      <c r="FZ53" s="86"/>
      <c r="GA53" s="86"/>
      <c r="GB53" s="86"/>
      <c r="GC53" s="86"/>
      <c r="GD53" s="86"/>
      <c r="GE53" s="86"/>
      <c r="GF53" s="86"/>
      <c r="GG53" s="86"/>
      <c r="GH53" s="86"/>
      <c r="GI53" s="86"/>
      <c r="GJ53" s="86"/>
      <c r="GK53" s="86"/>
      <c r="GL53" s="86"/>
      <c r="GM53" s="86"/>
      <c r="GN53" s="86"/>
      <c r="GO53" s="86"/>
      <c r="GP53" s="86"/>
      <c r="GQ53" s="86"/>
      <c r="GR53" s="86"/>
      <c r="GS53" s="86"/>
      <c r="GT53" s="86"/>
      <c r="GU53" s="86"/>
      <c r="GV53" s="86"/>
      <c r="GW53" s="86"/>
      <c r="GX53" s="86"/>
      <c r="GY53" s="86"/>
      <c r="GZ53" s="86"/>
      <c r="HA53" s="86"/>
      <c r="HB53" s="86"/>
      <c r="HC53" s="86"/>
      <c r="HD53" s="86"/>
      <c r="HE53" s="86"/>
      <c r="HF53" s="86"/>
      <c r="HG53" s="86"/>
      <c r="HH53" s="86"/>
      <c r="HI53" s="86"/>
      <c r="HJ53" s="86"/>
      <c r="HK53" s="86"/>
      <c r="HL53" s="86"/>
      <c r="HM53" s="86"/>
      <c r="HN53" s="86"/>
      <c r="HO53" s="86"/>
      <c r="HP53" s="86"/>
      <c r="HQ53" s="86"/>
      <c r="HR53" s="86"/>
      <c r="HS53" s="86"/>
      <c r="HT53" s="86"/>
      <c r="HU53" s="86"/>
      <c r="HV53" s="86"/>
      <c r="HW53" s="86"/>
      <c r="HX53" s="86"/>
      <c r="HY53" s="86"/>
      <c r="HZ53" s="86"/>
      <c r="IA53" s="86"/>
      <c r="IB53" s="86"/>
      <c r="IC53" s="86"/>
      <c r="ID53" s="86"/>
      <c r="IE53" s="86"/>
      <c r="IF53" s="86"/>
      <c r="IG53" s="86"/>
      <c r="IH53" s="86"/>
      <c r="II53" s="86"/>
      <c r="IJ53" s="86"/>
      <c r="IK53" s="86"/>
      <c r="IL53" s="86"/>
      <c r="IM53" s="86"/>
    </row>
    <row r="54" spans="1:247" ht="9.9499999999999993" customHeight="1">
      <c r="A54" s="150">
        <v>2.1</v>
      </c>
      <c r="B54" s="202" t="s">
        <v>11</v>
      </c>
      <c r="C54" s="40">
        <v>93.324041811846698</v>
      </c>
      <c r="D54" s="40">
        <v>81.345859799630006</v>
      </c>
      <c r="E54" s="67">
        <v>86.769580673763585</v>
      </c>
      <c r="F54" s="67">
        <v>95.42144442234121</v>
      </c>
      <c r="G54" s="40">
        <v>107.20203506672331</v>
      </c>
      <c r="H54" s="67">
        <v>89.278606567182081</v>
      </c>
      <c r="I54" s="40">
        <v>84.421080000000003</v>
      </c>
      <c r="J54" s="67">
        <v>97.356795138275317</v>
      </c>
      <c r="K54" s="40">
        <v>80.502433333333329</v>
      </c>
      <c r="L54" s="67">
        <v>50.970974582264503</v>
      </c>
      <c r="M54" s="67">
        <v>102.22852177203846</v>
      </c>
      <c r="N54" s="67">
        <v>47.785519999999998</v>
      </c>
      <c r="O54" s="67">
        <v>63.610902917254556</v>
      </c>
      <c r="P54" s="67">
        <v>19</v>
      </c>
      <c r="Q54" s="67">
        <v>22.458421561845476</v>
      </c>
      <c r="R54" s="67">
        <v>85.196001853114112</v>
      </c>
      <c r="S54" s="67">
        <v>96.156288403358602</v>
      </c>
      <c r="T54" s="67">
        <v>68.671555940138788</v>
      </c>
      <c r="U54" s="67">
        <v>87.475180000000009</v>
      </c>
      <c r="V54" s="40">
        <v>81.100264661081482</v>
      </c>
      <c r="W54" s="67">
        <v>76</v>
      </c>
      <c r="X54" s="40">
        <v>55.697040000000001</v>
      </c>
      <c r="Y54" s="67">
        <v>93.544455719128592</v>
      </c>
      <c r="Z54" s="40">
        <v>51.320754716981128</v>
      </c>
      <c r="AA54" s="67">
        <v>114.3175487465181</v>
      </c>
      <c r="AB54" s="40">
        <v>69.68862</v>
      </c>
      <c r="AC54" s="67">
        <v>93</v>
      </c>
      <c r="AD54" s="67">
        <v>26.623840000000001</v>
      </c>
      <c r="AE54" s="67">
        <v>74.632616219726501</v>
      </c>
      <c r="AF54" s="67">
        <v>80.036447484000007</v>
      </c>
      <c r="AG54" s="140"/>
      <c r="AH54" s="138">
        <v>48</v>
      </c>
      <c r="AI54" s="138">
        <v>18.509226598831095</v>
      </c>
      <c r="AJ54" s="138">
        <v>67.873580000000004</v>
      </c>
    </row>
    <row r="55" spans="1:247" ht="9.9499999999999993" customHeight="1">
      <c r="A55" s="150">
        <v>2.2000000000000002</v>
      </c>
      <c r="B55" s="202" t="s">
        <v>12</v>
      </c>
      <c r="C55" s="40">
        <v>22.076655052264808</v>
      </c>
      <c r="D55" s="40">
        <v>18.807279050219499</v>
      </c>
      <c r="E55" s="67">
        <v>22.725358591897891</v>
      </c>
      <c r="F55" s="67">
        <v>18.89530054768974</v>
      </c>
      <c r="G55" s="40">
        <v>21.77840320004351</v>
      </c>
      <c r="H55" s="67">
        <v>20.365539480266829</v>
      </c>
      <c r="I55" s="40">
        <v>23.26773</v>
      </c>
      <c r="J55" s="67">
        <v>18.310860966406551</v>
      </c>
      <c r="K55" s="40">
        <v>27.215283333333332</v>
      </c>
      <c r="L55" s="67">
        <v>15.040359673240266</v>
      </c>
      <c r="M55" s="67">
        <v>16.364172568403983</v>
      </c>
      <c r="N55" s="67">
        <v>15.83492</v>
      </c>
      <c r="O55" s="67">
        <v>23.011154724333387</v>
      </c>
      <c r="P55" s="67">
        <v>17</v>
      </c>
      <c r="Q55" s="67">
        <v>6.7684725645624626</v>
      </c>
      <c r="R55" s="67">
        <v>10.527990500444041</v>
      </c>
      <c r="S55" s="67">
        <v>13.033294960315333</v>
      </c>
      <c r="T55" s="67">
        <v>16.779658854880168</v>
      </c>
      <c r="U55" s="67">
        <v>10.551830000000001</v>
      </c>
      <c r="V55" s="40">
        <v>24.561157654226967</v>
      </c>
      <c r="W55" s="67">
        <v>17</v>
      </c>
      <c r="X55" s="40">
        <v>15.4939</v>
      </c>
      <c r="Y55" s="67">
        <v>19.640440948848767</v>
      </c>
      <c r="Z55" s="40">
        <v>10.062893081761006</v>
      </c>
      <c r="AA55" s="67">
        <v>15.041782729805014</v>
      </c>
      <c r="AB55" s="40">
        <v>20.00808</v>
      </c>
      <c r="AC55" s="67">
        <v>20</v>
      </c>
      <c r="AD55" s="67">
        <v>13.12486</v>
      </c>
      <c r="AE55" s="67">
        <v>23.27829672753461</v>
      </c>
      <c r="AF55" s="67">
        <v>15.70198692</v>
      </c>
      <c r="AG55" s="140"/>
      <c r="AH55" s="138">
        <v>15</v>
      </c>
      <c r="AI55" s="138">
        <v>13.859667335647526</v>
      </c>
      <c r="AJ55" s="138">
        <v>8.005096</v>
      </c>
    </row>
    <row r="56" spans="1:247" ht="9.9499999999999993" customHeight="1">
      <c r="A56" s="150">
        <v>2.2999999999999998</v>
      </c>
      <c r="B56" s="205" t="s">
        <v>13</v>
      </c>
      <c r="C56" s="40">
        <v>27.094076655052266</v>
      </c>
      <c r="D56" s="40">
        <v>14.8567958953332</v>
      </c>
      <c r="E56" s="67">
        <v>14</v>
      </c>
      <c r="F56" s="67">
        <v>19.070873027158719</v>
      </c>
      <c r="G56" s="40">
        <v>20.433925683013356</v>
      </c>
      <c r="H56" s="67">
        <v>18</v>
      </c>
      <c r="I56" s="40">
        <v>13.5989033</v>
      </c>
      <c r="J56" s="67">
        <v>14.000000738888927</v>
      </c>
      <c r="K56" s="40">
        <v>11.580928333333333</v>
      </c>
      <c r="L56" s="67">
        <v>13</v>
      </c>
      <c r="M56" s="67">
        <v>18</v>
      </c>
      <c r="N56" s="67">
        <v>28.69997</v>
      </c>
      <c r="O56" s="67">
        <v>17.668903160421412</v>
      </c>
      <c r="P56" s="67" t="s">
        <v>248</v>
      </c>
      <c r="Q56" s="67">
        <v>11.251923142856905</v>
      </c>
      <c r="R56" s="67">
        <v>4</v>
      </c>
      <c r="S56" s="67">
        <v>8</v>
      </c>
      <c r="T56" s="67">
        <v>12</v>
      </c>
      <c r="U56" s="67">
        <v>18.450119000000001</v>
      </c>
      <c r="V56" s="40">
        <v>14.332472581873574</v>
      </c>
      <c r="W56" s="67">
        <v>16</v>
      </c>
      <c r="X56" s="40">
        <v>14</v>
      </c>
      <c r="Y56" s="67">
        <v>22</v>
      </c>
      <c r="Z56" s="40">
        <v>6.0377358490566042</v>
      </c>
      <c r="AA56" s="67">
        <v>11.030640668523677</v>
      </c>
      <c r="AB56" s="40">
        <v>25</v>
      </c>
      <c r="AC56" s="67">
        <v>26</v>
      </c>
      <c r="AD56" s="67">
        <v>11.442565999999999</v>
      </c>
      <c r="AE56" s="67">
        <v>17.248554664331316</v>
      </c>
      <c r="AF56" s="67">
        <v>18.700517088000002</v>
      </c>
      <c r="AG56" s="140"/>
      <c r="AH56" s="138">
        <v>12.999999999999998</v>
      </c>
      <c r="AI56" s="138">
        <v>7.9013663631013484</v>
      </c>
      <c r="AJ56" s="138">
        <v>3</v>
      </c>
    </row>
    <row r="57" spans="1:247" ht="9.9499999999999993" customHeight="1">
      <c r="A57" s="150" t="s">
        <v>0</v>
      </c>
      <c r="B57" s="205" t="s">
        <v>14</v>
      </c>
      <c r="C57" s="67" t="s">
        <v>248</v>
      </c>
      <c r="D57" s="40">
        <v>14.25006</v>
      </c>
      <c r="E57" s="67">
        <v>14.338197282193567</v>
      </c>
      <c r="F57" s="67">
        <v>18.081175015461927</v>
      </c>
      <c r="G57" s="40" t="s">
        <v>248</v>
      </c>
      <c r="H57" s="67">
        <v>18.006894549481355</v>
      </c>
      <c r="I57" s="40">
        <v>13.1937</v>
      </c>
      <c r="J57" s="67">
        <v>12.645040667377147</v>
      </c>
      <c r="K57" s="40">
        <v>10.675701666666667</v>
      </c>
      <c r="L57" s="67">
        <v>13.092216235888165</v>
      </c>
      <c r="M57" s="67">
        <v>18.233809881885819</v>
      </c>
      <c r="N57" s="67" t="s">
        <v>248</v>
      </c>
      <c r="O57" s="67">
        <v>16.291313099331006</v>
      </c>
      <c r="P57" s="67">
        <v>9</v>
      </c>
      <c r="Q57" s="67" t="s">
        <v>248</v>
      </c>
      <c r="R57" s="67">
        <v>4</v>
      </c>
      <c r="S57" s="67">
        <v>7.7151848015949245</v>
      </c>
      <c r="T57" s="67">
        <v>12.429720845826765</v>
      </c>
      <c r="U57" s="67">
        <v>14.44933</v>
      </c>
      <c r="V57" s="40">
        <v>14.019659177456207</v>
      </c>
      <c r="W57" s="67">
        <v>16</v>
      </c>
      <c r="X57" s="40">
        <v>13.59421</v>
      </c>
      <c r="Y57" s="67">
        <v>22.049117829252197</v>
      </c>
      <c r="Z57" s="40" t="s">
        <v>248</v>
      </c>
      <c r="AA57" s="67">
        <v>11</v>
      </c>
      <c r="AB57" s="40">
        <v>23.07497</v>
      </c>
      <c r="AC57" s="67">
        <v>19</v>
      </c>
      <c r="AD57" s="67">
        <v>9.5995109999999997</v>
      </c>
      <c r="AE57" s="67">
        <v>14.506590846695989</v>
      </c>
      <c r="AF57" s="67">
        <v>16.644178050000001</v>
      </c>
      <c r="AG57" s="140"/>
      <c r="AH57" s="138" t="s">
        <v>248</v>
      </c>
      <c r="AI57" s="138" t="s">
        <v>248</v>
      </c>
      <c r="AJ57" s="138">
        <v>2.7896909999999999</v>
      </c>
    </row>
    <row r="58" spans="1:247" ht="9.9499999999999993" customHeight="1">
      <c r="A58" s="150" t="s">
        <v>1</v>
      </c>
      <c r="B58" s="205" t="s">
        <v>15</v>
      </c>
      <c r="C58" s="67" t="s">
        <v>248</v>
      </c>
      <c r="D58" s="40">
        <v>0.60673469999999996</v>
      </c>
      <c r="E58" s="67" t="s">
        <v>248</v>
      </c>
      <c r="F58" s="67">
        <v>0.63335282717639096</v>
      </c>
      <c r="G58" s="40" t="s">
        <v>248</v>
      </c>
      <c r="H58" s="67" t="s">
        <v>248</v>
      </c>
      <c r="I58" s="40">
        <v>1</v>
      </c>
      <c r="J58" s="67">
        <v>0.88496164670630917</v>
      </c>
      <c r="K58" s="40">
        <v>0.90522666666666673</v>
      </c>
      <c r="L58" s="67" t="s">
        <v>248</v>
      </c>
      <c r="M58" s="67" t="s">
        <v>248</v>
      </c>
      <c r="N58" s="67" t="s">
        <v>248</v>
      </c>
      <c r="O58" s="67">
        <v>1.377584053633097</v>
      </c>
      <c r="P58" s="230">
        <v>1.3397090376262499</v>
      </c>
      <c r="Q58" s="67" t="s">
        <v>248</v>
      </c>
      <c r="R58" s="67" t="s">
        <v>248</v>
      </c>
      <c r="S58" s="67" t="s">
        <v>248</v>
      </c>
      <c r="T58" s="67" t="s">
        <v>248</v>
      </c>
      <c r="U58" s="67">
        <v>4.0007890000000002</v>
      </c>
      <c r="V58" s="40">
        <v>0.31281340441736483</v>
      </c>
      <c r="W58" s="67" t="s">
        <v>248</v>
      </c>
      <c r="X58" s="40">
        <v>0</v>
      </c>
      <c r="Y58" s="67" t="s">
        <v>248</v>
      </c>
      <c r="Z58" s="40" t="s">
        <v>248</v>
      </c>
      <c r="AA58" s="67" t="s">
        <v>248</v>
      </c>
      <c r="AB58" s="40">
        <v>2.0755780000000001</v>
      </c>
      <c r="AC58" s="67">
        <v>7</v>
      </c>
      <c r="AD58" s="67">
        <v>1.8430550000000001</v>
      </c>
      <c r="AE58" s="67">
        <v>3.0027200245688896</v>
      </c>
      <c r="AF58" s="67">
        <v>2.056339038</v>
      </c>
      <c r="AG58" s="140"/>
      <c r="AH58" s="138" t="s">
        <v>248</v>
      </c>
      <c r="AI58" s="138" t="s">
        <v>248</v>
      </c>
      <c r="AJ58" s="138">
        <v>0.36404039999999999</v>
      </c>
    </row>
    <row r="59" spans="1:247" ht="9.9499999999999993" customHeight="1">
      <c r="A59" s="150">
        <v>2.4</v>
      </c>
      <c r="B59" s="205" t="s">
        <v>16</v>
      </c>
      <c r="C59" s="67" t="s">
        <v>248</v>
      </c>
      <c r="D59" s="40">
        <v>5.4690810000000001</v>
      </c>
      <c r="E59" s="67">
        <v>3.7869707152813028</v>
      </c>
      <c r="F59" s="67">
        <v>3.3141824862469709</v>
      </c>
      <c r="G59" s="40">
        <v>11.300430963827949</v>
      </c>
      <c r="H59" s="67">
        <v>11.396261291035106</v>
      </c>
      <c r="I59" s="40">
        <v>1.512416</v>
      </c>
      <c r="J59" s="67">
        <v>0.77073494067767756</v>
      </c>
      <c r="K59" s="40">
        <v>5.8241883333333337</v>
      </c>
      <c r="L59" s="67">
        <v>5.128302947393105</v>
      </c>
      <c r="M59" s="67">
        <v>9.581525533722548</v>
      </c>
      <c r="N59" s="67" t="s">
        <v>248</v>
      </c>
      <c r="O59" s="67">
        <v>4.9158512550866167</v>
      </c>
      <c r="P59" s="230"/>
      <c r="Q59" s="67">
        <v>0.628234365832125</v>
      </c>
      <c r="R59" s="67">
        <v>11.529798256433581</v>
      </c>
      <c r="S59" s="67">
        <v>15.799999584803086</v>
      </c>
      <c r="T59" s="67">
        <v>3.2704396064843206</v>
      </c>
      <c r="U59" s="67">
        <v>6.2997779999999999</v>
      </c>
      <c r="V59" s="40">
        <v>4.6867894135567409</v>
      </c>
      <c r="W59" s="67">
        <v>6</v>
      </c>
      <c r="X59" s="40">
        <v>0</v>
      </c>
      <c r="Y59" s="67">
        <v>7.0186932273035127</v>
      </c>
      <c r="Z59" s="40">
        <v>4.0251572327044025</v>
      </c>
      <c r="AA59" s="67">
        <v>9.0250696378830089</v>
      </c>
      <c r="AB59" s="40">
        <v>3.4142739999999998</v>
      </c>
      <c r="AC59" s="67" t="s">
        <v>248</v>
      </c>
      <c r="AD59" s="67">
        <v>1.074327</v>
      </c>
      <c r="AE59" s="67">
        <v>5.0600436584690121</v>
      </c>
      <c r="AF59" s="67">
        <v>4.6144440480000002</v>
      </c>
      <c r="AG59" s="140"/>
      <c r="AH59" s="138">
        <v>2</v>
      </c>
      <c r="AI59" s="138">
        <v>1.1277350523132343</v>
      </c>
      <c r="AJ59" s="138">
        <v>0.2846341</v>
      </c>
    </row>
    <row r="60" spans="1:247" ht="9.9499999999999993" customHeight="1">
      <c r="A60" s="150">
        <v>2.5</v>
      </c>
      <c r="B60" s="205" t="s">
        <v>17</v>
      </c>
      <c r="C60" s="40">
        <v>4.013937282229965</v>
      </c>
      <c r="D60" s="40">
        <v>8.7188280000000002</v>
      </c>
      <c r="E60" s="67">
        <v>3.5934697177641834</v>
      </c>
      <c r="F60" s="67">
        <v>3</v>
      </c>
      <c r="G60" s="40">
        <v>3.8569453176860868</v>
      </c>
      <c r="H60" s="67">
        <v>0</v>
      </c>
      <c r="I60" s="40">
        <v>4.1478060000000001</v>
      </c>
      <c r="J60" s="67" t="s">
        <v>248</v>
      </c>
      <c r="K60" s="40">
        <v>6.8530199999999999</v>
      </c>
      <c r="L60" s="67">
        <v>0</v>
      </c>
      <c r="M60" s="67">
        <v>0.29988353831945125</v>
      </c>
      <c r="N60" s="67">
        <v>8.7633209999999995</v>
      </c>
      <c r="O60" s="67">
        <v>2.9358864406139076</v>
      </c>
      <c r="P60" s="67">
        <v>1</v>
      </c>
      <c r="Q60" s="67">
        <v>0.4286166613613398</v>
      </c>
      <c r="R60" s="67">
        <v>0</v>
      </c>
      <c r="S60" s="67">
        <v>0.36642134673293514</v>
      </c>
      <c r="T60" s="67">
        <v>2.1120124163011864</v>
      </c>
      <c r="U60" s="67">
        <v>2.4667150000000002</v>
      </c>
      <c r="V60" s="40">
        <v>5.0801075780654994</v>
      </c>
      <c r="W60" s="67">
        <v>4</v>
      </c>
      <c r="X60" s="40">
        <v>6.3362129999999999</v>
      </c>
      <c r="Y60" s="67">
        <v>0.67225573654868775</v>
      </c>
      <c r="Z60" s="40">
        <v>1.0062893081761006</v>
      </c>
      <c r="AA60" s="67">
        <v>1.0027855153203342</v>
      </c>
      <c r="AB60" s="40">
        <v>0.96965970000000001</v>
      </c>
      <c r="AC60" s="67" t="s">
        <v>248</v>
      </c>
      <c r="AD60" s="67">
        <v>2.9306589999999999</v>
      </c>
      <c r="AE60" s="67">
        <v>2</v>
      </c>
      <c r="AF60" s="67">
        <v>3.9551640780000001</v>
      </c>
      <c r="AG60" s="140"/>
      <c r="AH60" s="138">
        <v>1</v>
      </c>
      <c r="AI60" s="138">
        <v>0.3371897447117545</v>
      </c>
      <c r="AJ60" s="138">
        <v>1.568346</v>
      </c>
    </row>
    <row r="61" spans="1:247" ht="9.9499999999999993" customHeight="1">
      <c r="A61" s="150">
        <v>2.6</v>
      </c>
      <c r="B61" s="203" t="s">
        <v>18</v>
      </c>
      <c r="C61" s="40">
        <v>25.087108013937282</v>
      </c>
      <c r="D61" s="40">
        <v>7.6848486983829201</v>
      </c>
      <c r="E61" s="67">
        <v>12.958801498071693</v>
      </c>
      <c r="F61" s="67">
        <v>8.7940583321088823</v>
      </c>
      <c r="G61" s="40">
        <v>21.56434162842465</v>
      </c>
      <c r="H61" s="67">
        <v>21.116288218336067</v>
      </c>
      <c r="I61" s="40">
        <v>19.961600000000001</v>
      </c>
      <c r="J61" s="67">
        <v>4.084303215560448</v>
      </c>
      <c r="K61" s="40">
        <v>16.95185</v>
      </c>
      <c r="L61" s="67">
        <v>10.852219306851591</v>
      </c>
      <c r="M61" s="67">
        <v>15.633132685758865</v>
      </c>
      <c r="N61" s="67">
        <v>25.89442</v>
      </c>
      <c r="O61" s="67">
        <v>18.147647446049795</v>
      </c>
      <c r="P61" s="67" t="s">
        <v>46</v>
      </c>
      <c r="Q61" s="67">
        <v>7.4588165643688953</v>
      </c>
      <c r="R61" s="67">
        <v>18.305514203193773</v>
      </c>
      <c r="S61" s="67">
        <v>18.539616423495062</v>
      </c>
      <c r="T61" s="67">
        <v>17.811793752840735</v>
      </c>
      <c r="U61" s="67">
        <v>6.1755930000000001</v>
      </c>
      <c r="V61" s="40">
        <v>14.830318926123383</v>
      </c>
      <c r="W61" s="67">
        <v>22</v>
      </c>
      <c r="X61" s="40">
        <v>22.821269999999998</v>
      </c>
      <c r="Y61" s="67">
        <v>15.857752952826859</v>
      </c>
      <c r="Z61" s="40">
        <v>23.815513626834385</v>
      </c>
      <c r="AA61" s="67">
        <v>16.044568245125348</v>
      </c>
      <c r="AB61" s="40">
        <v>19.32338</v>
      </c>
      <c r="AC61" s="67">
        <v>26</v>
      </c>
      <c r="AD61" s="67">
        <v>12.182639999999999</v>
      </c>
      <c r="AE61" s="67">
        <v>17.945826290303206</v>
      </c>
      <c r="AF61" s="67">
        <v>20.769183006000002</v>
      </c>
      <c r="AG61" s="140"/>
      <c r="AH61" s="138">
        <v>12</v>
      </c>
      <c r="AI61" s="138">
        <v>10.032057239700046</v>
      </c>
      <c r="AJ61" s="138">
        <v>8.1673650000000002</v>
      </c>
    </row>
    <row r="62" spans="1:247" ht="9.9499999999999993" customHeight="1">
      <c r="A62" s="150">
        <v>2.7</v>
      </c>
      <c r="B62" s="203" t="s">
        <v>19</v>
      </c>
      <c r="C62" s="67" t="s">
        <v>248</v>
      </c>
      <c r="D62" s="40">
        <v>1.63204170551278</v>
      </c>
      <c r="E62" s="67" t="s">
        <v>248</v>
      </c>
      <c r="F62" s="67" t="s">
        <v>248</v>
      </c>
      <c r="G62" s="40" t="s">
        <v>248</v>
      </c>
      <c r="H62" s="67" t="s">
        <v>248</v>
      </c>
      <c r="I62" s="40">
        <v>10.55538</v>
      </c>
      <c r="J62" s="67">
        <v>0.88675674680105054</v>
      </c>
      <c r="K62" s="40">
        <v>1.5043028333333335</v>
      </c>
      <c r="L62" s="67" t="s">
        <v>248</v>
      </c>
      <c r="M62" s="67" t="s">
        <v>248</v>
      </c>
      <c r="N62" s="67" t="s">
        <v>248</v>
      </c>
      <c r="O62" s="67">
        <v>0.41869754705981099</v>
      </c>
      <c r="P62" s="48" t="s">
        <v>248</v>
      </c>
      <c r="Q62" s="67"/>
      <c r="R62" s="67" t="s">
        <v>248</v>
      </c>
      <c r="S62" s="67" t="s">
        <v>248</v>
      </c>
      <c r="T62" s="67" t="s">
        <v>248</v>
      </c>
      <c r="U62" s="67" t="s">
        <v>248</v>
      </c>
      <c r="V62" s="40">
        <v>0.82595906321401369</v>
      </c>
      <c r="W62" s="67" t="s">
        <v>248</v>
      </c>
      <c r="X62" s="40">
        <v>54.544310000000003</v>
      </c>
      <c r="Y62" s="67" t="s">
        <v>248</v>
      </c>
      <c r="Z62" s="40" t="s">
        <v>248</v>
      </c>
      <c r="AA62" s="67" t="s">
        <v>248</v>
      </c>
      <c r="AB62" s="40">
        <v>7.5052989999999999</v>
      </c>
      <c r="AC62" s="67">
        <v>6</v>
      </c>
      <c r="AD62" s="67">
        <v>0.21284690000000001</v>
      </c>
      <c r="AE62" s="67" t="s">
        <v>248</v>
      </c>
      <c r="AF62" s="67">
        <v>1.635741828</v>
      </c>
      <c r="AG62" s="140"/>
      <c r="AH62" s="138" t="s">
        <v>248</v>
      </c>
      <c r="AI62" s="138" t="s">
        <v>248</v>
      </c>
      <c r="AJ62" s="138">
        <v>14.04012</v>
      </c>
    </row>
    <row r="63" spans="1:247" s="149" customFormat="1" ht="9.9499999999999993" customHeight="1">
      <c r="A63" s="145">
        <v>3</v>
      </c>
      <c r="B63" s="204" t="s">
        <v>20</v>
      </c>
      <c r="C63" s="198">
        <v>649.25435540069691</v>
      </c>
      <c r="D63" s="198">
        <v>657.36157000000003</v>
      </c>
      <c r="E63" s="189">
        <v>648.45743788364314</v>
      </c>
      <c r="F63" s="189">
        <v>621.77664093081808</v>
      </c>
      <c r="G63" s="198">
        <v>643.03950391638352</v>
      </c>
      <c r="H63" s="189">
        <v>663.61153653643885</v>
      </c>
      <c r="I63" s="198">
        <v>630.11623999999995</v>
      </c>
      <c r="J63" s="189">
        <v>742.955399211535</v>
      </c>
      <c r="K63" s="198">
        <v>637.57751666666661</v>
      </c>
      <c r="L63" s="189">
        <v>689.48515468936648</v>
      </c>
      <c r="M63" s="189">
        <v>686.29311534782698</v>
      </c>
      <c r="N63" s="189">
        <v>594.72987999999998</v>
      </c>
      <c r="O63" s="189">
        <v>710.31841844134397</v>
      </c>
      <c r="P63" s="189">
        <v>632</v>
      </c>
      <c r="Q63" s="189">
        <v>675.83242458591144</v>
      </c>
      <c r="R63" s="189">
        <v>639.6029005427647</v>
      </c>
      <c r="S63" s="189">
        <v>644.32348964371533</v>
      </c>
      <c r="T63" s="189">
        <v>676.86338955921019</v>
      </c>
      <c r="U63" s="189">
        <v>624.21897999999999</v>
      </c>
      <c r="V63" s="198">
        <v>666.23253998476775</v>
      </c>
      <c r="W63" s="189">
        <v>639</v>
      </c>
      <c r="X63" s="198">
        <v>614.54814999999996</v>
      </c>
      <c r="Y63" s="189">
        <v>645.25306132077299</v>
      </c>
      <c r="Z63" s="198">
        <v>677.23270440251588</v>
      </c>
      <c r="AA63" s="189">
        <v>631.75487465181061</v>
      </c>
      <c r="AB63" s="198">
        <v>696.87999000000002</v>
      </c>
      <c r="AC63" s="189">
        <v>611</v>
      </c>
      <c r="AD63" s="189">
        <v>679.09766000000002</v>
      </c>
      <c r="AE63" s="189">
        <v>634.91689171502401</v>
      </c>
      <c r="AF63" s="189">
        <v>647.75398061999999</v>
      </c>
      <c r="AG63" s="140"/>
      <c r="AH63" s="147">
        <v>696</v>
      </c>
      <c r="AI63" s="147">
        <v>702.77192738969404</v>
      </c>
      <c r="AJ63" s="147">
        <v>695.37227000000007</v>
      </c>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86"/>
      <c r="CD63" s="86"/>
      <c r="CE63" s="86"/>
      <c r="CF63" s="86"/>
      <c r="CG63" s="86"/>
      <c r="CH63" s="86"/>
      <c r="CI63" s="86"/>
      <c r="CJ63" s="86"/>
      <c r="CK63" s="86"/>
      <c r="CL63" s="86"/>
      <c r="CM63" s="86"/>
      <c r="CN63" s="86"/>
      <c r="CO63" s="86"/>
      <c r="CP63" s="86"/>
      <c r="CQ63" s="86"/>
      <c r="CR63" s="86"/>
      <c r="CS63" s="86"/>
      <c r="CT63" s="86"/>
      <c r="CU63" s="86"/>
      <c r="CV63" s="86"/>
      <c r="CW63" s="86"/>
      <c r="CX63" s="86"/>
      <c r="CY63" s="86"/>
      <c r="CZ63" s="86"/>
      <c r="DA63" s="86"/>
      <c r="DB63" s="86"/>
      <c r="DC63" s="86"/>
      <c r="DD63" s="86"/>
      <c r="DE63" s="86"/>
      <c r="DF63" s="86"/>
      <c r="DG63" s="86"/>
      <c r="DH63" s="86"/>
      <c r="DI63" s="86"/>
      <c r="DJ63" s="86"/>
      <c r="DK63" s="86"/>
      <c r="DL63" s="86"/>
      <c r="DM63" s="86"/>
      <c r="DN63" s="86"/>
      <c r="DO63" s="86"/>
      <c r="DP63" s="86"/>
      <c r="DQ63" s="86"/>
      <c r="DR63" s="86"/>
      <c r="DS63" s="86"/>
      <c r="DT63" s="86"/>
      <c r="DU63" s="86"/>
      <c r="DV63" s="86"/>
      <c r="DW63" s="86"/>
      <c r="DX63" s="86"/>
      <c r="DY63" s="86"/>
      <c r="DZ63" s="86"/>
      <c r="EA63" s="86"/>
      <c r="EB63" s="86"/>
      <c r="EC63" s="86"/>
      <c r="ED63" s="86"/>
      <c r="EE63" s="86"/>
      <c r="EF63" s="86"/>
      <c r="EG63" s="86"/>
      <c r="EH63" s="86"/>
      <c r="EI63" s="86"/>
      <c r="EJ63" s="86"/>
      <c r="EK63" s="86"/>
      <c r="EL63" s="86"/>
      <c r="EM63" s="86"/>
      <c r="EN63" s="86"/>
      <c r="EO63" s="86"/>
      <c r="EP63" s="86"/>
      <c r="EQ63" s="86"/>
      <c r="ER63" s="86"/>
      <c r="ES63" s="86"/>
      <c r="ET63" s="86"/>
      <c r="EU63" s="86"/>
      <c r="EV63" s="86"/>
      <c r="EW63" s="86"/>
      <c r="EX63" s="86"/>
      <c r="EY63" s="86"/>
      <c r="EZ63" s="86"/>
      <c r="FA63" s="86"/>
      <c r="FB63" s="86"/>
      <c r="FC63" s="86"/>
      <c r="FD63" s="86"/>
      <c r="FE63" s="86"/>
      <c r="FF63" s="86"/>
      <c r="FG63" s="86"/>
      <c r="FH63" s="86"/>
      <c r="FI63" s="86"/>
      <c r="FJ63" s="86"/>
      <c r="FK63" s="86"/>
      <c r="FL63" s="86"/>
      <c r="FM63" s="86"/>
      <c r="FN63" s="86"/>
      <c r="FO63" s="86"/>
      <c r="FP63" s="86"/>
      <c r="FQ63" s="86"/>
      <c r="FR63" s="86"/>
      <c r="FS63" s="86"/>
      <c r="FT63" s="86"/>
      <c r="FU63" s="86"/>
      <c r="FV63" s="86"/>
      <c r="FW63" s="86"/>
      <c r="FX63" s="86"/>
      <c r="FY63" s="86"/>
      <c r="FZ63" s="86"/>
      <c r="GA63" s="86"/>
      <c r="GB63" s="86"/>
      <c r="GC63" s="86"/>
      <c r="GD63" s="86"/>
      <c r="GE63" s="86"/>
      <c r="GF63" s="86"/>
      <c r="GG63" s="86"/>
      <c r="GH63" s="86"/>
      <c r="GI63" s="86"/>
      <c r="GJ63" s="86"/>
      <c r="GK63" s="86"/>
      <c r="GL63" s="86"/>
      <c r="GM63" s="86"/>
      <c r="GN63" s="86"/>
      <c r="GO63" s="86"/>
      <c r="GP63" s="86"/>
      <c r="GQ63" s="86"/>
      <c r="GR63" s="86"/>
      <c r="GS63" s="86"/>
      <c r="GT63" s="86"/>
      <c r="GU63" s="86"/>
      <c r="GV63" s="86"/>
      <c r="GW63" s="86"/>
      <c r="GX63" s="86"/>
      <c r="GY63" s="86"/>
      <c r="GZ63" s="86"/>
      <c r="HA63" s="86"/>
      <c r="HB63" s="86"/>
      <c r="HC63" s="86"/>
      <c r="HD63" s="86"/>
      <c r="HE63" s="86"/>
      <c r="HF63" s="86"/>
      <c r="HG63" s="86"/>
      <c r="HH63" s="86"/>
      <c r="HI63" s="86"/>
      <c r="HJ63" s="86"/>
      <c r="HK63" s="86"/>
      <c r="HL63" s="86"/>
      <c r="HM63" s="86"/>
      <c r="HN63" s="86"/>
      <c r="HO63" s="86"/>
      <c r="HP63" s="86"/>
      <c r="HQ63" s="86"/>
      <c r="HR63" s="86"/>
      <c r="HS63" s="86"/>
      <c r="HT63" s="86"/>
      <c r="HU63" s="86"/>
      <c r="HV63" s="86"/>
      <c r="HW63" s="86"/>
      <c r="HX63" s="86"/>
      <c r="HY63" s="86"/>
      <c r="HZ63" s="86"/>
      <c r="IA63" s="86"/>
      <c r="IB63" s="86"/>
      <c r="IC63" s="86"/>
      <c r="ID63" s="86"/>
      <c r="IE63" s="86"/>
      <c r="IF63" s="86"/>
      <c r="IG63" s="86"/>
      <c r="IH63" s="86"/>
      <c r="II63" s="86"/>
      <c r="IJ63" s="86"/>
      <c r="IK63" s="86"/>
      <c r="IL63" s="86"/>
      <c r="IM63" s="86"/>
    </row>
    <row r="64" spans="1:247" ht="9.9499999999999993" customHeight="1">
      <c r="A64" s="150">
        <v>3.1</v>
      </c>
      <c r="B64" s="202" t="s">
        <v>21</v>
      </c>
      <c r="C64" s="40">
        <v>512.78048780487813</v>
      </c>
      <c r="D64" s="40">
        <v>513.28082926147295</v>
      </c>
      <c r="E64" s="67">
        <v>505.72552677314917</v>
      </c>
      <c r="F64" s="67">
        <v>514.18807557412583</v>
      </c>
      <c r="G64" s="40">
        <v>479.38033730943374</v>
      </c>
      <c r="H64" s="67">
        <v>531.83143642421703</v>
      </c>
      <c r="I64" s="40">
        <v>504.94099999999997</v>
      </c>
      <c r="J64" s="67">
        <v>509.22062687553313</v>
      </c>
      <c r="K64" s="40">
        <v>493.93616666666662</v>
      </c>
      <c r="L64" s="67">
        <v>501.43550409259956</v>
      </c>
      <c r="M64" s="67">
        <v>502.86323913049296</v>
      </c>
      <c r="N64" s="67">
        <v>481.88049999999998</v>
      </c>
      <c r="O64" s="67">
        <v>514.30252558286327</v>
      </c>
      <c r="P64" s="67">
        <v>466</v>
      </c>
      <c r="Q64" s="67">
        <v>471.47349482751139</v>
      </c>
      <c r="R64" s="67">
        <v>510.13636529996893</v>
      </c>
      <c r="S64" s="67">
        <v>500.65889994277705</v>
      </c>
      <c r="T64" s="67">
        <v>514.64988837020508</v>
      </c>
      <c r="U64" s="67">
        <v>496.7919</v>
      </c>
      <c r="V64" s="40">
        <v>496.07213442498096</v>
      </c>
      <c r="W64" s="67">
        <v>522</v>
      </c>
      <c r="X64" s="40">
        <v>484.24709999999999</v>
      </c>
      <c r="Y64" s="67">
        <v>503.48184833104102</v>
      </c>
      <c r="Z64" s="40">
        <v>503.1446540880504</v>
      </c>
      <c r="AA64" s="67">
        <v>501.39275766016715</v>
      </c>
      <c r="AB64" s="40">
        <v>520.09050000000002</v>
      </c>
      <c r="AC64" s="67">
        <v>482</v>
      </c>
      <c r="AD64" s="67">
        <v>511.15690000000001</v>
      </c>
      <c r="AE64" s="67">
        <v>504.45306059154154</v>
      </c>
      <c r="AF64" s="67">
        <v>531.857910006</v>
      </c>
      <c r="AG64" s="140"/>
      <c r="AH64" s="138">
        <v>540</v>
      </c>
      <c r="AI64" s="138">
        <v>534.40405226534028</v>
      </c>
      <c r="AJ64" s="138">
        <v>549.07380000000001</v>
      </c>
    </row>
    <row r="65" spans="1:247" ht="9.9499999999999993" customHeight="1">
      <c r="A65" s="150">
        <v>3.2</v>
      </c>
      <c r="B65" s="203" t="s">
        <v>22</v>
      </c>
      <c r="C65" s="40">
        <v>87.303135888501743</v>
      </c>
      <c r="D65" s="40">
        <v>94.544012336332798</v>
      </c>
      <c r="E65" s="67">
        <v>95.600732998143684</v>
      </c>
      <c r="F65" s="67">
        <v>64.984300959091129</v>
      </c>
      <c r="G65" s="40">
        <v>117.86029136553374</v>
      </c>
      <c r="H65" s="67">
        <v>82.037157303173643</v>
      </c>
      <c r="I65" s="40">
        <v>80.249719999999996</v>
      </c>
      <c r="J65" s="67">
        <v>134.30880708852035</v>
      </c>
      <c r="K65" s="40">
        <v>93.405799999999999</v>
      </c>
      <c r="L65" s="67">
        <v>134.3540476877335</v>
      </c>
      <c r="M65" s="67">
        <v>105.1842675883465</v>
      </c>
      <c r="N65" s="67">
        <v>76.094930000000005</v>
      </c>
      <c r="O65" s="67">
        <v>128.97600339449372</v>
      </c>
      <c r="P65" s="67">
        <v>89</v>
      </c>
      <c r="Q65" s="67">
        <v>119.10505211194737</v>
      </c>
      <c r="R65" s="67">
        <v>92.98884096220543</v>
      </c>
      <c r="S65" s="67">
        <v>91.072609195207562</v>
      </c>
      <c r="T65" s="67">
        <v>111.46411362489177</v>
      </c>
      <c r="U65" s="67">
        <v>75.649979999999999</v>
      </c>
      <c r="V65" s="40">
        <v>112.0169268849962</v>
      </c>
      <c r="W65" s="67">
        <v>79</v>
      </c>
      <c r="X65" s="40">
        <v>81.037210000000002</v>
      </c>
      <c r="Y65" s="67">
        <v>89.142592688052133</v>
      </c>
      <c r="Z65" s="40">
        <v>115.72327044025157</v>
      </c>
      <c r="AA65" s="67">
        <v>89.247910863509745</v>
      </c>
      <c r="AB65" s="40">
        <v>128.4768</v>
      </c>
      <c r="AC65" s="67">
        <v>80</v>
      </c>
      <c r="AD65" s="67">
        <v>115.6352</v>
      </c>
      <c r="AE65" s="67">
        <v>80.010597883463603</v>
      </c>
      <c r="AF65" s="67">
        <v>67.113503610000009</v>
      </c>
      <c r="AG65" s="140"/>
      <c r="AH65" s="138">
        <v>103.99999999999999</v>
      </c>
      <c r="AI65" s="138">
        <v>87.240301029293789</v>
      </c>
      <c r="AJ65" s="138">
        <v>76.461849999999998</v>
      </c>
    </row>
    <row r="66" spans="1:247" ht="9.9499999999999993" customHeight="1">
      <c r="A66" s="150">
        <v>3.3</v>
      </c>
      <c r="B66" s="203" t="s">
        <v>23</v>
      </c>
      <c r="C66" s="40">
        <v>49.170731707317074</v>
      </c>
      <c r="D66" s="40">
        <v>49.536731664915301</v>
      </c>
      <c r="E66" s="67">
        <v>47.13117811235027</v>
      </c>
      <c r="F66" s="67">
        <v>42.604264397601106</v>
      </c>
      <c r="G66" s="40">
        <v>45.798875241416063</v>
      </c>
      <c r="H66" s="67">
        <v>49.742942809048152</v>
      </c>
      <c r="I66" s="40">
        <v>44.925519999999999</v>
      </c>
      <c r="J66" s="67">
        <v>99.4259652474815</v>
      </c>
      <c r="K66" s="40">
        <v>50.235549999999996</v>
      </c>
      <c r="L66" s="67">
        <v>53.695602909033454</v>
      </c>
      <c r="M66" s="67">
        <v>78.245608628987512</v>
      </c>
      <c r="N66" s="67">
        <v>36.754449999999999</v>
      </c>
      <c r="O66" s="67">
        <v>67.039889463986938</v>
      </c>
      <c r="P66" s="67">
        <v>77</v>
      </c>
      <c r="Q66" s="67">
        <v>85.253877646452622</v>
      </c>
      <c r="R66" s="67">
        <v>36.477694280590377</v>
      </c>
      <c r="S66" s="67">
        <v>52.591980505730646</v>
      </c>
      <c r="T66" s="67">
        <v>50.749387564113334</v>
      </c>
      <c r="U66" s="67">
        <v>51.777099999999997</v>
      </c>
      <c r="V66" s="40">
        <v>58.143478674790558</v>
      </c>
      <c r="W66" s="67">
        <v>37</v>
      </c>
      <c r="X66" s="40">
        <v>49.263840000000002</v>
      </c>
      <c r="Y66" s="67">
        <v>52.628620301679874</v>
      </c>
      <c r="Z66" s="40">
        <v>58.364779874213951</v>
      </c>
      <c r="AA66" s="67">
        <v>41.114206128133702</v>
      </c>
      <c r="AB66" s="40">
        <v>48.312690000000003</v>
      </c>
      <c r="AC66" s="67">
        <v>49</v>
      </c>
      <c r="AD66" s="67">
        <v>52.30556</v>
      </c>
      <c r="AE66" s="67">
        <v>50.45323324001901</v>
      </c>
      <c r="AF66" s="67">
        <v>48.782566973999998</v>
      </c>
      <c r="AG66" s="140"/>
      <c r="AH66" s="138">
        <v>51.999999999999993</v>
      </c>
      <c r="AI66" s="138">
        <v>81.127574095059899</v>
      </c>
      <c r="AJ66" s="138">
        <v>69.836619999999996</v>
      </c>
    </row>
    <row r="67" spans="1:247" s="149" customFormat="1" ht="9.9499999999999993" customHeight="1">
      <c r="A67" s="145">
        <v>4</v>
      </c>
      <c r="B67" s="204" t="s">
        <v>24</v>
      </c>
      <c r="C67" s="198">
        <v>297.03135888501743</v>
      </c>
      <c r="D67" s="198">
        <v>321.97859999999997</v>
      </c>
      <c r="E67" s="189">
        <v>365.17312994382337</v>
      </c>
      <c r="F67" s="189">
        <v>297.80487032964669</v>
      </c>
      <c r="G67" s="198">
        <v>339.54260568160714</v>
      </c>
      <c r="H67" s="189">
        <v>345.31406194829515</v>
      </c>
      <c r="I67" s="198">
        <v>358.73950300000001</v>
      </c>
      <c r="J67" s="189">
        <v>319.1308068430148</v>
      </c>
      <c r="K67" s="198">
        <v>346.2537733333333</v>
      </c>
      <c r="L67" s="189">
        <v>375.39031967495907</v>
      </c>
      <c r="M67" s="189">
        <v>308.15711648269581</v>
      </c>
      <c r="N67" s="189">
        <v>337.57702</v>
      </c>
      <c r="O67" s="189">
        <v>366.0957532175384</v>
      </c>
      <c r="P67" s="189">
        <v>284</v>
      </c>
      <c r="Q67" s="189">
        <v>272.4477894006414</v>
      </c>
      <c r="R67" s="189">
        <v>290.47875347106975</v>
      </c>
      <c r="S67" s="189">
        <v>282.19783185362007</v>
      </c>
      <c r="T67" s="189">
        <v>299.04139473576328</v>
      </c>
      <c r="U67" s="189">
        <v>186.60215499999998</v>
      </c>
      <c r="V67" s="198">
        <v>329.58532083015996</v>
      </c>
      <c r="W67" s="189">
        <v>306</v>
      </c>
      <c r="X67" s="198">
        <v>370.33888899999999</v>
      </c>
      <c r="Y67" s="189">
        <v>310.96180876139653</v>
      </c>
      <c r="Z67" s="198">
        <v>289.14046121593293</v>
      </c>
      <c r="AA67" s="189">
        <v>336.93593314763228</v>
      </c>
      <c r="AB67" s="198">
        <v>347.16925599999996</v>
      </c>
      <c r="AC67" s="189">
        <v>338</v>
      </c>
      <c r="AD67" s="189">
        <v>300.95495099999999</v>
      </c>
      <c r="AE67" s="189">
        <v>326.51573343354073</v>
      </c>
      <c r="AF67" s="189">
        <v>303.21951832799999</v>
      </c>
      <c r="AG67" s="140"/>
      <c r="AH67" s="147">
        <v>248</v>
      </c>
      <c r="AI67" s="147">
        <v>282.6432935175763</v>
      </c>
      <c r="AJ67" s="147">
        <v>334.19431999999995</v>
      </c>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86"/>
      <c r="CD67" s="86"/>
      <c r="CE67" s="86"/>
      <c r="CF67" s="86"/>
      <c r="CG67" s="86"/>
      <c r="CH67" s="86"/>
      <c r="CI67" s="86"/>
      <c r="CJ67" s="86"/>
      <c r="CK67" s="86"/>
      <c r="CL67" s="86"/>
      <c r="CM67" s="86"/>
      <c r="CN67" s="86"/>
      <c r="CO67" s="86"/>
      <c r="CP67" s="86"/>
      <c r="CQ67" s="86"/>
      <c r="CR67" s="86"/>
      <c r="CS67" s="86"/>
      <c r="CT67" s="86"/>
      <c r="CU67" s="86"/>
      <c r="CV67" s="86"/>
      <c r="CW67" s="86"/>
      <c r="CX67" s="86"/>
      <c r="CY67" s="86"/>
      <c r="CZ67" s="86"/>
      <c r="DA67" s="86"/>
      <c r="DB67" s="86"/>
      <c r="DC67" s="86"/>
      <c r="DD67" s="86"/>
      <c r="DE67" s="86"/>
      <c r="DF67" s="86"/>
      <c r="DG67" s="86"/>
      <c r="DH67" s="86"/>
      <c r="DI67" s="86"/>
      <c r="DJ67" s="86"/>
      <c r="DK67" s="86"/>
      <c r="DL67" s="86"/>
      <c r="DM67" s="86"/>
      <c r="DN67" s="86"/>
      <c r="DO67" s="86"/>
      <c r="DP67" s="86"/>
      <c r="DQ67" s="86"/>
      <c r="DR67" s="86"/>
      <c r="DS67" s="86"/>
      <c r="DT67" s="86"/>
      <c r="DU67" s="86"/>
      <c r="DV67" s="86"/>
      <c r="DW67" s="86"/>
      <c r="DX67" s="86"/>
      <c r="DY67" s="86"/>
      <c r="DZ67" s="86"/>
      <c r="EA67" s="86"/>
      <c r="EB67" s="86"/>
      <c r="EC67" s="86"/>
      <c r="ED67" s="86"/>
      <c r="EE67" s="86"/>
      <c r="EF67" s="86"/>
      <c r="EG67" s="86"/>
      <c r="EH67" s="86"/>
      <c r="EI67" s="86"/>
      <c r="EJ67" s="86"/>
      <c r="EK67" s="86"/>
      <c r="EL67" s="86"/>
      <c r="EM67" s="86"/>
      <c r="EN67" s="86"/>
      <c r="EO67" s="86"/>
      <c r="EP67" s="86"/>
      <c r="EQ67" s="86"/>
      <c r="ER67" s="86"/>
      <c r="ES67" s="86"/>
      <c r="ET67" s="86"/>
      <c r="EU67" s="86"/>
      <c r="EV67" s="86"/>
      <c r="EW67" s="86"/>
      <c r="EX67" s="86"/>
      <c r="EY67" s="86"/>
      <c r="EZ67" s="86"/>
      <c r="FA67" s="86"/>
      <c r="FB67" s="86"/>
      <c r="FC67" s="86"/>
      <c r="FD67" s="86"/>
      <c r="FE67" s="86"/>
      <c r="FF67" s="86"/>
      <c r="FG67" s="86"/>
      <c r="FH67" s="86"/>
      <c r="FI67" s="86"/>
      <c r="FJ67" s="86"/>
      <c r="FK67" s="86"/>
      <c r="FL67" s="86"/>
      <c r="FM67" s="86"/>
      <c r="FN67" s="86"/>
      <c r="FO67" s="86"/>
      <c r="FP67" s="86"/>
      <c r="FQ67" s="86"/>
      <c r="FR67" s="86"/>
      <c r="FS67" s="86"/>
      <c r="FT67" s="86"/>
      <c r="FU67" s="86"/>
      <c r="FV67" s="86"/>
      <c r="FW67" s="86"/>
      <c r="FX67" s="86"/>
      <c r="FY67" s="86"/>
      <c r="FZ67" s="86"/>
      <c r="GA67" s="86"/>
      <c r="GB67" s="86"/>
      <c r="GC67" s="86"/>
      <c r="GD67" s="86"/>
      <c r="GE67" s="86"/>
      <c r="GF67" s="86"/>
      <c r="GG67" s="86"/>
      <c r="GH67" s="86"/>
      <c r="GI67" s="86"/>
      <c r="GJ67" s="86"/>
      <c r="GK67" s="86"/>
      <c r="GL67" s="86"/>
      <c r="GM67" s="86"/>
      <c r="GN67" s="86"/>
      <c r="GO67" s="86"/>
      <c r="GP67" s="86"/>
      <c r="GQ67" s="86"/>
      <c r="GR67" s="86"/>
      <c r="GS67" s="86"/>
      <c r="GT67" s="86"/>
      <c r="GU67" s="86"/>
      <c r="GV67" s="86"/>
      <c r="GW67" s="86"/>
      <c r="GX67" s="86"/>
      <c r="GY67" s="86"/>
      <c r="GZ67" s="86"/>
      <c r="HA67" s="86"/>
      <c r="HB67" s="86"/>
      <c r="HC67" s="86"/>
      <c r="HD67" s="86"/>
      <c r="HE67" s="86"/>
      <c r="HF67" s="86"/>
      <c r="HG67" s="86"/>
      <c r="HH67" s="86"/>
      <c r="HI67" s="86"/>
      <c r="HJ67" s="86"/>
      <c r="HK67" s="86"/>
      <c r="HL67" s="86"/>
      <c r="HM67" s="86"/>
      <c r="HN67" s="86"/>
      <c r="HO67" s="86"/>
      <c r="HP67" s="86"/>
      <c r="HQ67" s="86"/>
      <c r="HR67" s="86"/>
      <c r="HS67" s="86"/>
      <c r="HT67" s="86"/>
      <c r="HU67" s="86"/>
      <c r="HV67" s="86"/>
      <c r="HW67" s="86"/>
      <c r="HX67" s="86"/>
      <c r="HY67" s="86"/>
      <c r="HZ67" s="86"/>
      <c r="IA67" s="86"/>
      <c r="IB67" s="86"/>
      <c r="IC67" s="86"/>
      <c r="ID67" s="86"/>
      <c r="IE67" s="86"/>
      <c r="IF67" s="86"/>
      <c r="IG67" s="86"/>
      <c r="IH67" s="86"/>
      <c r="II67" s="86"/>
      <c r="IJ67" s="86"/>
      <c r="IK67" s="86"/>
      <c r="IL67" s="86"/>
      <c r="IM67" s="86"/>
    </row>
    <row r="68" spans="1:247" ht="9.9499999999999993" customHeight="1">
      <c r="A68" s="150">
        <v>4.0999999999999996</v>
      </c>
      <c r="B68" s="205" t="s">
        <v>25</v>
      </c>
      <c r="C68" s="40">
        <v>23.080139372822302</v>
      </c>
      <c r="D68" s="40">
        <v>43.000707580478299</v>
      </c>
      <c r="E68" s="67">
        <v>26.627219337662915</v>
      </c>
      <c r="F68" s="67">
        <v>25.430748211874729</v>
      </c>
      <c r="G68" s="40">
        <v>24.658908166266038</v>
      </c>
      <c r="H68" s="67">
        <v>32.29565398996732</v>
      </c>
      <c r="I68" s="40">
        <v>39.133609999999997</v>
      </c>
      <c r="J68" s="67">
        <v>17.059130900343018</v>
      </c>
      <c r="K68" s="40">
        <v>28.314966666666667</v>
      </c>
      <c r="L68" s="67">
        <v>33.658448275336987</v>
      </c>
      <c r="M68" s="67">
        <v>17.067250161795329</v>
      </c>
      <c r="N68" s="67">
        <v>22.75798</v>
      </c>
      <c r="O68" s="67">
        <v>43.762454194295678</v>
      </c>
      <c r="P68" s="67">
        <v>11</v>
      </c>
      <c r="Q68" s="67">
        <v>31.384966019577355</v>
      </c>
      <c r="R68" s="67">
        <v>30.415045634968422</v>
      </c>
      <c r="S68" s="67">
        <v>19.640216447021402</v>
      </c>
      <c r="T68" s="67">
        <v>38.815924069862341</v>
      </c>
      <c r="U68" s="67">
        <v>18.046309999999998</v>
      </c>
      <c r="V68" s="40">
        <v>24.564036557501908</v>
      </c>
      <c r="W68" s="67">
        <v>19</v>
      </c>
      <c r="X68" s="40">
        <v>20.982700000000001</v>
      </c>
      <c r="Y68" s="67">
        <v>25.51047218282892</v>
      </c>
      <c r="Z68" s="40">
        <v>20.125786163522012</v>
      </c>
      <c r="AA68" s="67">
        <v>35.097493036211702</v>
      </c>
      <c r="AB68" s="40">
        <v>46.700629999999997</v>
      </c>
      <c r="AC68" s="67">
        <v>36</v>
      </c>
      <c r="AD68" s="67">
        <v>13.43975</v>
      </c>
      <c r="AE68" s="67">
        <v>23.243505211516599</v>
      </c>
      <c r="AF68" s="67">
        <v>19.517788446000001</v>
      </c>
      <c r="AG68" s="140"/>
      <c r="AH68" s="138">
        <v>24</v>
      </c>
      <c r="AI68" s="138">
        <v>9.066890462892502</v>
      </c>
      <c r="AJ68" s="138">
        <v>9.1469989999999992</v>
      </c>
    </row>
    <row r="69" spans="1:247" ht="9.9499999999999993" customHeight="1">
      <c r="A69" s="150">
        <v>4.2</v>
      </c>
      <c r="B69" s="203" t="s">
        <v>26</v>
      </c>
      <c r="C69" s="40">
        <v>5.0174216027874561</v>
      </c>
      <c r="D69" s="40">
        <v>9.5467848266378699</v>
      </c>
      <c r="E69" s="67">
        <v>17.573380692668891</v>
      </c>
      <c r="F69" s="67">
        <v>5.5063723146077503</v>
      </c>
      <c r="G69" s="40">
        <v>6.9890701139994915</v>
      </c>
      <c r="H69" s="67">
        <v>7.4051936379027934</v>
      </c>
      <c r="I69" s="40">
        <v>7.0421930000000001</v>
      </c>
      <c r="J69" s="67">
        <v>15.929550840726295</v>
      </c>
      <c r="K69" s="40">
        <v>13.070506666666667</v>
      </c>
      <c r="L69" s="67">
        <v>4.6115131705228114</v>
      </c>
      <c r="M69" s="67">
        <v>5.304086273133171</v>
      </c>
      <c r="N69" s="67">
        <v>49.698480000000004</v>
      </c>
      <c r="O69" s="67">
        <v>6.508992889505941</v>
      </c>
      <c r="P69" s="67" t="s">
        <v>248</v>
      </c>
      <c r="Q69" s="67">
        <v>3.8984291302286982</v>
      </c>
      <c r="R69" s="67">
        <v>5.5905737677995457</v>
      </c>
      <c r="S69" s="67">
        <v>1.3659767736647335</v>
      </c>
      <c r="T69" s="67">
        <v>12.364523319855792</v>
      </c>
      <c r="U69" s="67">
        <v>8.2089449999999999</v>
      </c>
      <c r="V69" s="40">
        <v>6.2576561309977166</v>
      </c>
      <c r="W69" s="67">
        <v>6</v>
      </c>
      <c r="X69" s="40">
        <v>7.6020289999999999</v>
      </c>
      <c r="Y69" s="67">
        <v>2.8264179297064875</v>
      </c>
      <c r="Z69" s="40">
        <v>12.578616352201259</v>
      </c>
      <c r="AA69" s="67">
        <v>5.0139275766016711</v>
      </c>
      <c r="AB69" s="40">
        <v>9.9956160000000001</v>
      </c>
      <c r="AC69" s="67">
        <v>10</v>
      </c>
      <c r="AD69" s="67">
        <v>2.9531510000000001</v>
      </c>
      <c r="AE69" s="67">
        <v>6.3596589195560727</v>
      </c>
      <c r="AF69" s="67">
        <v>7.0354318439999997</v>
      </c>
      <c r="AG69" s="140"/>
      <c r="AH69" s="138">
        <v>3</v>
      </c>
      <c r="AI69" s="138">
        <v>5.6889994377987492</v>
      </c>
      <c r="AJ69" s="138">
        <v>5.7201009999999997</v>
      </c>
    </row>
    <row r="70" spans="1:247" ht="9.9499999999999993" customHeight="1">
      <c r="A70" s="150">
        <v>4.3</v>
      </c>
      <c r="B70" s="202" t="s">
        <v>27</v>
      </c>
      <c r="C70" s="40">
        <v>34.034843205574902</v>
      </c>
      <c r="D70" s="40">
        <v>30.802297297322699</v>
      </c>
      <c r="E70" s="67">
        <v>46.850018446240405</v>
      </c>
      <c r="F70" s="67">
        <v>52.959161971816194</v>
      </c>
      <c r="G70" s="40">
        <v>74.247125468092804</v>
      </c>
      <c r="H70" s="67">
        <v>35.655395959583871</v>
      </c>
      <c r="I70" s="40">
        <v>49.670999999999999</v>
      </c>
      <c r="J70" s="67">
        <v>52.128912751248166</v>
      </c>
      <c r="K70" s="40">
        <v>58.12133333333334</v>
      </c>
      <c r="L70" s="67">
        <v>58.145423115022105</v>
      </c>
      <c r="M70" s="67">
        <v>36.75874015110962</v>
      </c>
      <c r="N70" s="67">
        <v>43.105759999999997</v>
      </c>
      <c r="O70" s="67">
        <v>72.980754111760973</v>
      </c>
      <c r="P70" s="67">
        <v>8</v>
      </c>
      <c r="Q70" s="67">
        <v>38.116870855340551</v>
      </c>
      <c r="R70" s="67">
        <v>35.193452413537244</v>
      </c>
      <c r="S70" s="67">
        <v>31.812089624980949</v>
      </c>
      <c r="T70" s="67">
        <v>30.872877385812387</v>
      </c>
      <c r="U70" s="67">
        <v>40.176969999999997</v>
      </c>
      <c r="V70" s="40">
        <v>67.922710396039605</v>
      </c>
      <c r="W70" s="67">
        <v>59</v>
      </c>
      <c r="X70" s="40">
        <v>46.762059999999998</v>
      </c>
      <c r="Y70" s="67">
        <v>44.840234316050811</v>
      </c>
      <c r="Z70" s="40">
        <v>52.830188679245282</v>
      </c>
      <c r="AA70" s="67">
        <v>63.175487465181057</v>
      </c>
      <c r="AB70" s="40">
        <v>52.94614</v>
      </c>
      <c r="AC70" s="67">
        <v>49</v>
      </c>
      <c r="AD70" s="67">
        <v>63.979480000000002</v>
      </c>
      <c r="AE70" s="67">
        <v>42.141083649873913</v>
      </c>
      <c r="AF70" s="67">
        <v>30.39110895</v>
      </c>
      <c r="AG70" s="140"/>
      <c r="AH70" s="138">
        <v>22</v>
      </c>
      <c r="AI70" s="138">
        <v>81.467417593771117</v>
      </c>
      <c r="AJ70" s="138">
        <v>91.634349999999998</v>
      </c>
    </row>
    <row r="71" spans="1:247" ht="9.9499999999999993" customHeight="1">
      <c r="A71" s="150">
        <v>4.4000000000000004</v>
      </c>
      <c r="B71" s="202" t="s">
        <v>28</v>
      </c>
      <c r="C71" s="40">
        <v>158.55052264808361</v>
      </c>
      <c r="D71" s="40">
        <v>124.49384882591799</v>
      </c>
      <c r="E71" s="67">
        <v>139.92404211313567</v>
      </c>
      <c r="F71" s="67">
        <v>118.36989768909619</v>
      </c>
      <c r="G71" s="40">
        <v>132.49938940772188</v>
      </c>
      <c r="H71" s="67">
        <v>140.40053817993416</v>
      </c>
      <c r="I71" s="40">
        <v>135.69409999999999</v>
      </c>
      <c r="J71" s="67">
        <v>124.89560659171256</v>
      </c>
      <c r="K71" s="40">
        <v>125.7589</v>
      </c>
      <c r="L71" s="67">
        <v>149.54904756960974</v>
      </c>
      <c r="M71" s="67">
        <v>144.29900268092968</v>
      </c>
      <c r="N71" s="67">
        <v>94.467500000000001</v>
      </c>
      <c r="O71" s="67">
        <v>117.26816996327264</v>
      </c>
      <c r="P71" s="67">
        <v>80</v>
      </c>
      <c r="Q71" s="67">
        <v>101.25372222134574</v>
      </c>
      <c r="R71" s="67">
        <v>138.92334820558554</v>
      </c>
      <c r="S71" s="67">
        <v>159.728964048384</v>
      </c>
      <c r="T71" s="67">
        <v>123.94955410240107</v>
      </c>
      <c r="U71" s="67">
        <v>74.070570000000004</v>
      </c>
      <c r="V71" s="40">
        <v>124.91878332063975</v>
      </c>
      <c r="W71" s="67">
        <v>132</v>
      </c>
      <c r="X71" s="40">
        <v>140.13659999999999</v>
      </c>
      <c r="Y71" s="67">
        <v>134.76812820624201</v>
      </c>
      <c r="Z71" s="40">
        <v>126.2893081761006</v>
      </c>
      <c r="AA71" s="67">
        <v>133.37047353760445</v>
      </c>
      <c r="AB71" s="40">
        <v>140.40969999999999</v>
      </c>
      <c r="AC71" s="67">
        <v>123</v>
      </c>
      <c r="AD71" s="67">
        <v>126.1476</v>
      </c>
      <c r="AE71" s="67">
        <v>144.86852967067824</v>
      </c>
      <c r="AF71" s="67">
        <v>156.356791566</v>
      </c>
      <c r="AG71" s="140"/>
      <c r="AH71" s="138">
        <v>132</v>
      </c>
      <c r="AI71" s="138">
        <v>67.530462006290406</v>
      </c>
      <c r="AJ71" s="138">
        <v>139.1422</v>
      </c>
    </row>
    <row r="72" spans="1:247" ht="9.9499999999999993" customHeight="1">
      <c r="A72" s="150">
        <v>4.5</v>
      </c>
      <c r="B72" s="202" t="s">
        <v>29</v>
      </c>
      <c r="C72" s="40">
        <v>76.348432055749001</v>
      </c>
      <c r="D72" s="40">
        <v>114.13495903168101</v>
      </c>
      <c r="E72" s="67">
        <v>134.1984693541155</v>
      </c>
      <c r="F72" s="67">
        <v>95.53869014225188</v>
      </c>
      <c r="G72" s="40">
        <v>101.14811252552695</v>
      </c>
      <c r="H72" s="67">
        <v>129.55728018090699</v>
      </c>
      <c r="I72" s="40">
        <v>127.1986</v>
      </c>
      <c r="J72" s="67">
        <v>109.11760575898475</v>
      </c>
      <c r="K72" s="40">
        <v>120.98806666666665</v>
      </c>
      <c r="L72" s="67">
        <v>129.4258875444674</v>
      </c>
      <c r="M72" s="67">
        <v>104.72803721572807</v>
      </c>
      <c r="N72" s="67">
        <v>127.54730000000001</v>
      </c>
      <c r="O72" s="67">
        <v>125.5753820587032</v>
      </c>
      <c r="P72" s="67">
        <v>185</v>
      </c>
      <c r="Q72" s="67">
        <v>97.793801174149039</v>
      </c>
      <c r="R72" s="67">
        <v>80.356333449179033</v>
      </c>
      <c r="S72" s="67">
        <v>69.65058495956896</v>
      </c>
      <c r="T72" s="67">
        <v>93.038515857831726</v>
      </c>
      <c r="U72" s="67">
        <v>46.099359999999997</v>
      </c>
      <c r="V72" s="40">
        <v>105.92213442498095</v>
      </c>
      <c r="W72" s="67">
        <v>90</v>
      </c>
      <c r="X72" s="40">
        <v>154.85550000000001</v>
      </c>
      <c r="Y72" s="67">
        <v>103.01655612656829</v>
      </c>
      <c r="Z72" s="40">
        <v>77.316561844863756</v>
      </c>
      <c r="AA72" s="67">
        <v>100.27855153203343</v>
      </c>
      <c r="AB72" s="40">
        <v>97.117170000000002</v>
      </c>
      <c r="AC72" s="67">
        <v>121</v>
      </c>
      <c r="AD72" s="67">
        <v>94.434970000000007</v>
      </c>
      <c r="AE72" s="67">
        <v>109.90295598191585</v>
      </c>
      <c r="AF72" s="67">
        <v>89.918397515999999</v>
      </c>
      <c r="AG72" s="140"/>
      <c r="AH72" s="138">
        <v>67</v>
      </c>
      <c r="AI72" s="138">
        <v>118.88952401682354</v>
      </c>
      <c r="AJ72" s="138">
        <v>88.550669999999997</v>
      </c>
    </row>
    <row r="73" spans="1:247" s="149" customFormat="1" ht="9.9499999999999993" customHeight="1">
      <c r="A73" s="145">
        <v>5</v>
      </c>
      <c r="B73" s="204" t="s">
        <v>30</v>
      </c>
      <c r="C73" s="198">
        <v>18.062717770034844</v>
      </c>
      <c r="D73" s="198">
        <v>10.29041</v>
      </c>
      <c r="E73" s="189">
        <v>8.4929718125428177</v>
      </c>
      <c r="F73" s="189">
        <v>31.768059542609123</v>
      </c>
      <c r="G73" s="198">
        <v>11.214057622171694</v>
      </c>
      <c r="H73" s="189">
        <v>6.4666836742621836</v>
      </c>
      <c r="I73" s="198">
        <v>45.119599999999998</v>
      </c>
      <c r="J73" s="189">
        <v>7.8422754138978696</v>
      </c>
      <c r="K73" s="198">
        <v>16.204740000000001</v>
      </c>
      <c r="L73" s="189">
        <v>5.7688797500492486</v>
      </c>
      <c r="M73" s="189">
        <v>10.551610889662406</v>
      </c>
      <c r="N73" s="189">
        <v>39.904440000000001</v>
      </c>
      <c r="O73" s="189">
        <v>12.062818088763349</v>
      </c>
      <c r="P73" s="189">
        <v>34</v>
      </c>
      <c r="Q73" s="189">
        <v>23.739211287749889</v>
      </c>
      <c r="R73" s="189">
        <v>3.2603797382429387</v>
      </c>
      <c r="S73" s="189">
        <v>7.6051409303103323</v>
      </c>
      <c r="T73" s="189">
        <v>13.025015701008268</v>
      </c>
      <c r="U73" s="189">
        <v>19.426639999999999</v>
      </c>
      <c r="V73" s="198">
        <v>13.825582539984765</v>
      </c>
      <c r="W73" s="189">
        <v>16</v>
      </c>
      <c r="X73" s="198">
        <v>9.2430579999999996</v>
      </c>
      <c r="Y73" s="189">
        <v>10.205231988796562</v>
      </c>
      <c r="Z73" s="198">
        <v>5.0314465408805029</v>
      </c>
      <c r="AA73" s="189">
        <v>5.0139275766016711</v>
      </c>
      <c r="AB73" s="198">
        <v>13.661777000000001</v>
      </c>
      <c r="AC73" s="189">
        <v>7</v>
      </c>
      <c r="AD73" s="189">
        <v>34.116820000000004</v>
      </c>
      <c r="AE73" s="189">
        <v>29.869604487012744</v>
      </c>
      <c r="AF73" s="189">
        <v>23.278415561999999</v>
      </c>
      <c r="AG73" s="140"/>
      <c r="AH73" s="147">
        <v>15</v>
      </c>
      <c r="AI73" s="147">
        <v>12.246449456421935</v>
      </c>
      <c r="AJ73" s="147">
        <v>13.1774</v>
      </c>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86"/>
      <c r="CD73" s="86"/>
      <c r="CE73" s="86"/>
      <c r="CF73" s="86"/>
      <c r="CG73" s="86"/>
      <c r="CH73" s="86"/>
      <c r="CI73" s="86"/>
      <c r="CJ73" s="86"/>
      <c r="CK73" s="86"/>
      <c r="CL73" s="86"/>
      <c r="CM73" s="86"/>
      <c r="CN73" s="86"/>
      <c r="CO73" s="86"/>
      <c r="CP73" s="86"/>
      <c r="CQ73" s="86"/>
      <c r="CR73" s="86"/>
      <c r="CS73" s="86"/>
      <c r="CT73" s="86"/>
      <c r="CU73" s="86"/>
      <c r="CV73" s="86"/>
      <c r="CW73" s="86"/>
      <c r="CX73" s="86"/>
      <c r="CY73" s="86"/>
      <c r="CZ73" s="86"/>
      <c r="DA73" s="86"/>
      <c r="DB73" s="86"/>
      <c r="DC73" s="86"/>
      <c r="DD73" s="86"/>
      <c r="DE73" s="86"/>
      <c r="DF73" s="86"/>
      <c r="DG73" s="86"/>
      <c r="DH73" s="86"/>
      <c r="DI73" s="86"/>
      <c r="DJ73" s="86"/>
      <c r="DK73" s="86"/>
      <c r="DL73" s="86"/>
      <c r="DM73" s="86"/>
      <c r="DN73" s="86"/>
      <c r="DO73" s="86"/>
      <c r="DP73" s="86"/>
      <c r="DQ73" s="86"/>
      <c r="DR73" s="86"/>
      <c r="DS73" s="86"/>
      <c r="DT73" s="86"/>
      <c r="DU73" s="86"/>
      <c r="DV73" s="86"/>
      <c r="DW73" s="86"/>
      <c r="DX73" s="86"/>
      <c r="DY73" s="86"/>
      <c r="DZ73" s="86"/>
      <c r="EA73" s="86"/>
      <c r="EB73" s="86"/>
      <c r="EC73" s="86"/>
      <c r="ED73" s="86"/>
      <c r="EE73" s="86"/>
      <c r="EF73" s="86"/>
      <c r="EG73" s="86"/>
      <c r="EH73" s="86"/>
      <c r="EI73" s="86"/>
      <c r="EJ73" s="86"/>
      <c r="EK73" s="86"/>
      <c r="EL73" s="86"/>
      <c r="EM73" s="86"/>
      <c r="EN73" s="86"/>
      <c r="EO73" s="86"/>
      <c r="EP73" s="86"/>
      <c r="EQ73" s="86"/>
      <c r="ER73" s="86"/>
      <c r="ES73" s="86"/>
      <c r="ET73" s="86"/>
      <c r="EU73" s="86"/>
      <c r="EV73" s="86"/>
      <c r="EW73" s="86"/>
      <c r="EX73" s="86"/>
      <c r="EY73" s="86"/>
      <c r="EZ73" s="86"/>
      <c r="FA73" s="86"/>
      <c r="FB73" s="86"/>
      <c r="FC73" s="86"/>
      <c r="FD73" s="86"/>
      <c r="FE73" s="86"/>
      <c r="FF73" s="86"/>
      <c r="FG73" s="86"/>
      <c r="FH73" s="86"/>
      <c r="FI73" s="86"/>
      <c r="FJ73" s="86"/>
      <c r="FK73" s="86"/>
      <c r="FL73" s="86"/>
      <c r="FM73" s="86"/>
      <c r="FN73" s="86"/>
      <c r="FO73" s="86"/>
      <c r="FP73" s="86"/>
      <c r="FQ73" s="86"/>
      <c r="FR73" s="86"/>
      <c r="FS73" s="86"/>
      <c r="FT73" s="86"/>
      <c r="FU73" s="86"/>
      <c r="FV73" s="86"/>
      <c r="FW73" s="86"/>
      <c r="FX73" s="86"/>
      <c r="FY73" s="86"/>
      <c r="FZ73" s="86"/>
      <c r="GA73" s="86"/>
      <c r="GB73" s="86"/>
      <c r="GC73" s="86"/>
      <c r="GD73" s="86"/>
      <c r="GE73" s="86"/>
      <c r="GF73" s="86"/>
      <c r="GG73" s="86"/>
      <c r="GH73" s="86"/>
      <c r="GI73" s="86"/>
      <c r="GJ73" s="86"/>
      <c r="GK73" s="86"/>
      <c r="GL73" s="86"/>
      <c r="GM73" s="86"/>
      <c r="GN73" s="86"/>
      <c r="GO73" s="86"/>
      <c r="GP73" s="86"/>
      <c r="GQ73" s="86"/>
      <c r="GR73" s="86"/>
      <c r="GS73" s="86"/>
      <c r="GT73" s="86"/>
      <c r="GU73" s="86"/>
      <c r="GV73" s="86"/>
      <c r="GW73" s="86"/>
      <c r="GX73" s="86"/>
      <c r="GY73" s="86"/>
      <c r="GZ73" s="86"/>
      <c r="HA73" s="86"/>
      <c r="HB73" s="86"/>
      <c r="HC73" s="86"/>
      <c r="HD73" s="86"/>
      <c r="HE73" s="86"/>
      <c r="HF73" s="86"/>
      <c r="HG73" s="86"/>
      <c r="HH73" s="86"/>
      <c r="HI73" s="86"/>
      <c r="HJ73" s="86"/>
      <c r="HK73" s="86"/>
      <c r="HL73" s="86"/>
      <c r="HM73" s="86"/>
      <c r="HN73" s="86"/>
      <c r="HO73" s="86"/>
      <c r="HP73" s="86"/>
      <c r="HQ73" s="86"/>
      <c r="HR73" s="86"/>
      <c r="HS73" s="86"/>
      <c r="HT73" s="86"/>
      <c r="HU73" s="86"/>
      <c r="HV73" s="86"/>
      <c r="HW73" s="86"/>
      <c r="HX73" s="86"/>
      <c r="HY73" s="86"/>
      <c r="HZ73" s="86"/>
      <c r="IA73" s="86"/>
      <c r="IB73" s="86"/>
      <c r="IC73" s="86"/>
      <c r="ID73" s="86"/>
      <c r="IE73" s="86"/>
      <c r="IF73" s="86"/>
      <c r="IG73" s="86"/>
      <c r="IH73" s="86"/>
      <c r="II73" s="86"/>
      <c r="IJ73" s="86"/>
      <c r="IK73" s="86"/>
      <c r="IL73" s="86"/>
      <c r="IM73" s="86"/>
    </row>
    <row r="74" spans="1:247" ht="9.9499999999999993" customHeight="1">
      <c r="A74" s="150">
        <v>5.0999999999999996</v>
      </c>
      <c r="B74" s="203" t="s">
        <v>31</v>
      </c>
      <c r="C74" s="40">
        <v>10.034843205574912</v>
      </c>
      <c r="D74" s="40">
        <v>3.4294750473097801</v>
      </c>
      <c r="E74" s="67">
        <v>2.4004886792966964</v>
      </c>
      <c r="F74" s="67">
        <v>2.800407144514359</v>
      </c>
      <c r="G74" s="40">
        <v>6.7149145248382816</v>
      </c>
      <c r="H74" s="67">
        <v>0.36947519109903609</v>
      </c>
      <c r="I74" s="40">
        <v>1.0334000000000001</v>
      </c>
      <c r="J74" s="67">
        <v>2.2976181212631785</v>
      </c>
      <c r="K74" s="40">
        <v>2.4838250000000004</v>
      </c>
      <c r="L74" s="67">
        <v>1.8512992539615416</v>
      </c>
      <c r="M74" s="67">
        <v>1.1556677677315728</v>
      </c>
      <c r="N74" s="67">
        <v>5.0057299999999998</v>
      </c>
      <c r="O74" s="67">
        <v>5.6553141818447763</v>
      </c>
      <c r="P74" s="67" t="s">
        <v>248</v>
      </c>
      <c r="Q74" s="67">
        <v>6.8120717369738095</v>
      </c>
      <c r="R74" s="67">
        <v>1.2567642262638574</v>
      </c>
      <c r="S74" s="67">
        <v>1.9762336904437803</v>
      </c>
      <c r="T74" s="67">
        <v>3.0203997717385485</v>
      </c>
      <c r="U74" s="67">
        <v>18.235479999999999</v>
      </c>
      <c r="V74" s="40">
        <v>4.2964812452399093</v>
      </c>
      <c r="W74" s="67">
        <v>7</v>
      </c>
      <c r="X74" s="40">
        <v>2.393081</v>
      </c>
      <c r="Y74" s="67">
        <v>7.3097534968383471</v>
      </c>
      <c r="Z74" s="40">
        <v>4.0251572327044025</v>
      </c>
      <c r="AA74" s="67">
        <v>3.0083565459610031</v>
      </c>
      <c r="AB74" s="40">
        <v>4.0939110000000003</v>
      </c>
      <c r="AC74" s="44" t="s">
        <v>248</v>
      </c>
      <c r="AD74" s="67">
        <v>26.283190000000001</v>
      </c>
      <c r="AE74" s="67">
        <v>3.7396645884120585</v>
      </c>
      <c r="AF74" s="67">
        <v>6.7088792040000005</v>
      </c>
      <c r="AG74" s="140"/>
      <c r="AH74" s="138" t="s">
        <v>248</v>
      </c>
      <c r="AI74" s="138">
        <v>12.246449456421935</v>
      </c>
      <c r="AJ74" s="138">
        <v>13.1774</v>
      </c>
    </row>
    <row r="75" spans="1:247" ht="9.9499999999999993" customHeight="1">
      <c r="A75" s="156">
        <v>5.2</v>
      </c>
      <c r="B75" s="206" t="s">
        <v>32</v>
      </c>
      <c r="C75" s="199">
        <v>8.0278745644599301</v>
      </c>
      <c r="D75" s="199">
        <v>6.8609313938075696</v>
      </c>
      <c r="E75" s="200">
        <v>6.0924831332461231</v>
      </c>
      <c r="F75" s="200">
        <v>28.967652398094767</v>
      </c>
      <c r="G75" s="199">
        <v>4.4991430973334117</v>
      </c>
      <c r="H75" s="200">
        <v>6.0972084831631479</v>
      </c>
      <c r="I75" s="199">
        <v>44.086199999999998</v>
      </c>
      <c r="J75" s="200">
        <v>5.5446572926346906</v>
      </c>
      <c r="K75" s="199">
        <v>13.720915</v>
      </c>
      <c r="L75" s="200">
        <v>3.9175804960877065</v>
      </c>
      <c r="M75" s="200">
        <v>9.3959431219308343</v>
      </c>
      <c r="N75" s="200">
        <v>34.898710000000001</v>
      </c>
      <c r="O75" s="200">
        <v>6.4075039069185724</v>
      </c>
      <c r="P75" s="200">
        <v>34</v>
      </c>
      <c r="Q75" s="200">
        <v>16.927139550776079</v>
      </c>
      <c r="R75" s="200">
        <v>2.0036155119790813</v>
      </c>
      <c r="S75" s="200">
        <v>5.6289072398665514</v>
      </c>
      <c r="T75" s="200">
        <v>10.00461592926972</v>
      </c>
      <c r="U75" s="200">
        <v>1.19116</v>
      </c>
      <c r="V75" s="199">
        <v>9.5291012947448568</v>
      </c>
      <c r="W75" s="200">
        <v>9</v>
      </c>
      <c r="X75" s="199">
        <v>6.849977</v>
      </c>
      <c r="Y75" s="200">
        <v>2.8954784919582153</v>
      </c>
      <c r="Z75" s="199">
        <v>1.0062893081761006</v>
      </c>
      <c r="AA75" s="200">
        <v>2.0055710306406684</v>
      </c>
      <c r="AB75" s="199">
        <v>9.5678660000000004</v>
      </c>
      <c r="AC75" s="200" t="s">
        <v>248</v>
      </c>
      <c r="AD75" s="200">
        <v>7.8336300000000003</v>
      </c>
      <c r="AE75" s="200">
        <v>26.129939898600682</v>
      </c>
      <c r="AF75" s="200">
        <v>16.569536358000001</v>
      </c>
      <c r="AG75" s="140"/>
      <c r="AH75" s="144">
        <v>15</v>
      </c>
      <c r="AI75" s="144" t="s">
        <v>248</v>
      </c>
      <c r="AJ75" s="144" t="s">
        <v>248</v>
      </c>
    </row>
    <row r="76" spans="1:247" s="149" customFormat="1" ht="9.9499999999999993" customHeight="1">
      <c r="A76" s="145" t="s">
        <v>2</v>
      </c>
      <c r="B76" s="204" t="s">
        <v>33</v>
      </c>
      <c r="C76" s="147">
        <v>1440</v>
      </c>
      <c r="D76" s="147">
        <v>1439.7814578600774</v>
      </c>
      <c r="E76" s="147">
        <v>1440</v>
      </c>
      <c r="F76" s="147">
        <v>1440</v>
      </c>
      <c r="G76" s="147">
        <v>1440</v>
      </c>
      <c r="H76" s="147">
        <v>1439.6282299576803</v>
      </c>
      <c r="I76" s="147">
        <v>1440.0000023</v>
      </c>
      <c r="J76" s="148">
        <v>1440</v>
      </c>
      <c r="K76" s="147">
        <v>1439.9999230000001</v>
      </c>
      <c r="L76" s="147">
        <v>1440</v>
      </c>
      <c r="M76" s="147">
        <v>1440</v>
      </c>
      <c r="N76" s="147">
        <v>1440</v>
      </c>
      <c r="O76" s="147">
        <v>1440</v>
      </c>
      <c r="P76" s="147">
        <v>1440.1661220547167</v>
      </c>
      <c r="Q76" s="147">
        <v>1439.999999999997</v>
      </c>
      <c r="R76" s="147">
        <v>1439.9999999999998</v>
      </c>
      <c r="S76" s="147">
        <v>1440</v>
      </c>
      <c r="T76" s="147">
        <v>1440</v>
      </c>
      <c r="U76" s="148">
        <v>1440</v>
      </c>
      <c r="V76" s="148">
        <v>1440</v>
      </c>
      <c r="W76" s="147">
        <v>1440</v>
      </c>
      <c r="X76" s="148">
        <v>1439.999939</v>
      </c>
      <c r="Y76" s="147">
        <v>1440</v>
      </c>
      <c r="Z76" s="147">
        <v>1440</v>
      </c>
      <c r="AA76" s="147">
        <v>1440</v>
      </c>
      <c r="AB76" s="147">
        <v>1439.8494631999999</v>
      </c>
      <c r="AC76" s="147">
        <v>1440</v>
      </c>
      <c r="AD76" s="147">
        <v>1440.0112803999998</v>
      </c>
      <c r="AE76" s="147">
        <v>1440</v>
      </c>
      <c r="AF76" s="147">
        <v>1439.999996</v>
      </c>
      <c r="AG76" s="140"/>
      <c r="AH76" s="147">
        <v>1440</v>
      </c>
      <c r="AI76" s="147">
        <v>1440</v>
      </c>
      <c r="AJ76" s="147">
        <v>1439.8463010999999</v>
      </c>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86"/>
      <c r="CD76" s="86"/>
      <c r="CE76" s="86"/>
      <c r="CF76" s="86"/>
      <c r="CG76" s="86"/>
      <c r="CH76" s="86"/>
      <c r="CI76" s="86"/>
      <c r="CJ76" s="86"/>
      <c r="CK76" s="86"/>
      <c r="CL76" s="86"/>
      <c r="CM76" s="86"/>
      <c r="CN76" s="86"/>
      <c r="CO76" s="86"/>
      <c r="CP76" s="86"/>
      <c r="CQ76" s="86"/>
      <c r="CR76" s="86"/>
      <c r="CS76" s="86"/>
      <c r="CT76" s="86"/>
      <c r="CU76" s="86"/>
      <c r="CV76" s="86"/>
      <c r="CW76" s="86"/>
      <c r="CX76" s="86"/>
      <c r="CY76" s="86"/>
      <c r="CZ76" s="86"/>
      <c r="DA76" s="86"/>
      <c r="DB76" s="86"/>
      <c r="DC76" s="86"/>
      <c r="DD76" s="86"/>
      <c r="DE76" s="86"/>
      <c r="DF76" s="86"/>
      <c r="DG76" s="86"/>
      <c r="DH76" s="86"/>
      <c r="DI76" s="86"/>
      <c r="DJ76" s="86"/>
      <c r="DK76" s="86"/>
      <c r="DL76" s="86"/>
      <c r="DM76" s="86"/>
      <c r="DN76" s="86"/>
      <c r="DO76" s="86"/>
      <c r="DP76" s="86"/>
      <c r="DQ76" s="86"/>
      <c r="DR76" s="86"/>
      <c r="DS76" s="86"/>
      <c r="DT76" s="86"/>
      <c r="DU76" s="86"/>
      <c r="DV76" s="86"/>
      <c r="DW76" s="86"/>
      <c r="DX76" s="86"/>
      <c r="DY76" s="86"/>
      <c r="DZ76" s="86"/>
      <c r="EA76" s="86"/>
      <c r="EB76" s="86"/>
      <c r="EC76" s="86"/>
      <c r="ED76" s="86"/>
      <c r="EE76" s="86"/>
      <c r="EF76" s="86"/>
      <c r="EG76" s="86"/>
      <c r="EH76" s="86"/>
      <c r="EI76" s="86"/>
      <c r="EJ76" s="86"/>
      <c r="EK76" s="86"/>
      <c r="EL76" s="86"/>
      <c r="EM76" s="86"/>
      <c r="EN76" s="86"/>
      <c r="EO76" s="86"/>
      <c r="EP76" s="86"/>
      <c r="EQ76" s="86"/>
      <c r="ER76" s="86"/>
      <c r="ES76" s="86"/>
      <c r="ET76" s="86"/>
      <c r="EU76" s="86"/>
      <c r="EV76" s="86"/>
      <c r="EW76" s="86"/>
      <c r="EX76" s="86"/>
      <c r="EY76" s="86"/>
      <c r="EZ76" s="86"/>
      <c r="FA76" s="86"/>
      <c r="FB76" s="86"/>
      <c r="FC76" s="86"/>
      <c r="FD76" s="86"/>
      <c r="FE76" s="86"/>
      <c r="FF76" s="86"/>
      <c r="FG76" s="86"/>
      <c r="FH76" s="86"/>
      <c r="FI76" s="86"/>
      <c r="FJ76" s="86"/>
      <c r="FK76" s="86"/>
      <c r="FL76" s="86"/>
      <c r="FM76" s="86"/>
      <c r="FN76" s="86"/>
      <c r="FO76" s="86"/>
      <c r="FP76" s="86"/>
      <c r="FQ76" s="86"/>
      <c r="FR76" s="86"/>
      <c r="FS76" s="86"/>
      <c r="FT76" s="86"/>
      <c r="FU76" s="86"/>
      <c r="FV76" s="86"/>
      <c r="FW76" s="86"/>
      <c r="FX76" s="86"/>
      <c r="FY76" s="86"/>
      <c r="FZ76" s="86"/>
      <c r="GA76" s="86"/>
      <c r="GB76" s="86"/>
      <c r="GC76" s="86"/>
      <c r="GD76" s="86"/>
      <c r="GE76" s="86"/>
      <c r="GF76" s="86"/>
      <c r="GG76" s="86"/>
      <c r="GH76" s="86"/>
      <c r="GI76" s="86"/>
      <c r="GJ76" s="86"/>
      <c r="GK76" s="86"/>
      <c r="GL76" s="86"/>
      <c r="GM76" s="86"/>
      <c r="GN76" s="86"/>
      <c r="GO76" s="86"/>
      <c r="GP76" s="86"/>
      <c r="GQ76" s="86"/>
      <c r="GR76" s="86"/>
      <c r="GS76" s="86"/>
      <c r="GT76" s="86"/>
      <c r="GU76" s="86"/>
      <c r="GV76" s="86"/>
      <c r="GW76" s="86"/>
      <c r="GX76" s="86"/>
      <c r="GY76" s="86"/>
      <c r="GZ76" s="86"/>
      <c r="HA76" s="86"/>
      <c r="HB76" s="86"/>
      <c r="HC76" s="86"/>
      <c r="HD76" s="86"/>
      <c r="HE76" s="86"/>
      <c r="HF76" s="86"/>
      <c r="HG76" s="86"/>
      <c r="HH76" s="86"/>
      <c r="HI76" s="86"/>
      <c r="HJ76" s="86"/>
      <c r="HK76" s="86"/>
      <c r="HL76" s="86"/>
      <c r="HM76" s="86"/>
      <c r="HN76" s="86"/>
      <c r="HO76" s="86"/>
      <c r="HP76" s="86"/>
      <c r="HQ76" s="86"/>
      <c r="HR76" s="86"/>
      <c r="HS76" s="86"/>
      <c r="HT76" s="86"/>
      <c r="HU76" s="86"/>
      <c r="HV76" s="86"/>
      <c r="HW76" s="86"/>
      <c r="HX76" s="86"/>
      <c r="HY76" s="86"/>
      <c r="HZ76" s="86"/>
      <c r="IA76" s="86"/>
      <c r="IB76" s="86"/>
      <c r="IC76" s="86"/>
      <c r="ID76" s="86"/>
      <c r="IE76" s="86"/>
      <c r="IF76" s="86"/>
      <c r="IG76" s="86"/>
      <c r="IH76" s="86"/>
      <c r="II76" s="86"/>
      <c r="IJ76" s="86"/>
      <c r="IK76" s="86"/>
      <c r="IL76" s="86"/>
      <c r="IM76" s="86"/>
    </row>
    <row r="77" spans="1:247">
      <c r="A77" s="160" t="s">
        <v>512</v>
      </c>
      <c r="C77" s="91" t="s">
        <v>503</v>
      </c>
      <c r="D77" s="92"/>
      <c r="E77" s="91"/>
      <c r="F77" s="92"/>
      <c r="G77" s="92"/>
      <c r="H77" s="162"/>
      <c r="I77" s="92"/>
      <c r="J77" s="92"/>
      <c r="K77" s="92"/>
      <c r="L77" s="91"/>
      <c r="M77" s="91"/>
      <c r="N77" s="92"/>
      <c r="O77" s="92"/>
      <c r="P77" s="92"/>
      <c r="Q77" s="92"/>
      <c r="R77" s="92"/>
      <c r="S77" s="92"/>
      <c r="T77" s="92"/>
      <c r="U77" s="92"/>
      <c r="V77" s="92"/>
      <c r="W77" s="92"/>
      <c r="X77" s="92"/>
      <c r="Y77" s="91"/>
      <c r="Z77" s="92"/>
      <c r="AA77" s="92"/>
      <c r="AB77" s="92"/>
      <c r="AC77" s="91"/>
      <c r="AD77" s="91"/>
      <c r="AE77" s="92"/>
      <c r="AF77" s="92"/>
      <c r="AG77" s="86"/>
      <c r="AH77" s="91" t="s">
        <v>504</v>
      </c>
      <c r="AI77" s="92"/>
      <c r="AJ77" s="92"/>
    </row>
    <row r="78" spans="1:247" ht="409.5">
      <c r="A78" s="164"/>
      <c r="C78" s="207" t="s">
        <v>237</v>
      </c>
      <c r="D78" s="208"/>
      <c r="E78" s="207" t="s">
        <v>486</v>
      </c>
      <c r="F78" s="209"/>
      <c r="G78" s="208"/>
      <c r="H78" s="207" t="s">
        <v>486</v>
      </c>
      <c r="I78" s="208"/>
      <c r="J78" s="209"/>
      <c r="K78" s="208"/>
      <c r="L78" s="207" t="s">
        <v>486</v>
      </c>
      <c r="M78" s="207" t="s">
        <v>486</v>
      </c>
      <c r="N78" s="209"/>
      <c r="O78" s="209"/>
      <c r="P78" s="210" t="s">
        <v>560</v>
      </c>
      <c r="Q78" s="209"/>
      <c r="R78" s="209"/>
      <c r="S78" s="207" t="s">
        <v>488</v>
      </c>
      <c r="T78" s="207" t="s">
        <v>486</v>
      </c>
      <c r="U78" s="207" t="s">
        <v>555</v>
      </c>
      <c r="V78" s="208"/>
      <c r="W78" s="210"/>
      <c r="X78" s="208"/>
      <c r="Y78" s="207" t="s">
        <v>486</v>
      </c>
      <c r="Z78" s="208"/>
      <c r="AA78" s="210"/>
      <c r="AB78" s="208"/>
      <c r="AC78" s="207"/>
      <c r="AD78" s="210"/>
      <c r="AE78" s="209"/>
      <c r="AF78" s="209"/>
      <c r="AG78" s="86"/>
      <c r="AH78" s="87"/>
      <c r="AI78" s="87"/>
      <c r="AJ78" s="87"/>
    </row>
    <row r="79" spans="1:247">
      <c r="F79" s="94"/>
      <c r="H79" s="88"/>
      <c r="I79" s="94"/>
      <c r="O79" s="87"/>
      <c r="P79" s="87"/>
      <c r="Q79" s="87"/>
      <c r="R79" s="87"/>
      <c r="S79" s="87"/>
      <c r="T79" s="87"/>
      <c r="U79" s="94"/>
      <c r="V79" s="87"/>
      <c r="W79" s="87"/>
      <c r="X79" s="87"/>
      <c r="Y79" s="87"/>
      <c r="AH79" s="87"/>
      <c r="AI79" s="93"/>
    </row>
    <row r="80" spans="1:247">
      <c r="A80" s="164" t="s">
        <v>506</v>
      </c>
      <c r="B80" s="164"/>
      <c r="C80" s="164"/>
      <c r="D80" s="164"/>
      <c r="E80" s="164"/>
      <c r="H80" s="88"/>
      <c r="P80" s="87"/>
      <c r="Q80" s="87"/>
      <c r="R80" s="87"/>
      <c r="S80" s="87"/>
      <c r="T80" s="87"/>
      <c r="V80" s="87"/>
      <c r="W80" s="87"/>
      <c r="X80" s="87"/>
      <c r="Y80" s="87"/>
      <c r="AE80" s="86"/>
      <c r="AH80" s="87"/>
      <c r="AI80" s="93"/>
    </row>
    <row r="81" spans="1:247">
      <c r="A81" s="164" t="s">
        <v>507</v>
      </c>
      <c r="H81" s="88"/>
      <c r="P81" s="87"/>
      <c r="Q81" s="87"/>
      <c r="R81" s="87"/>
      <c r="S81" s="87"/>
      <c r="T81" s="87"/>
      <c r="V81" s="87"/>
      <c r="W81" s="87"/>
      <c r="X81" s="87"/>
      <c r="Y81" s="87"/>
      <c r="AE81" s="86"/>
      <c r="AH81" s="87"/>
      <c r="AI81" s="93"/>
    </row>
    <row r="82" spans="1:247">
      <c r="H82" s="88"/>
      <c r="P82" s="87"/>
      <c r="Q82" s="87"/>
      <c r="R82" s="87"/>
      <c r="S82" s="87"/>
      <c r="T82" s="87"/>
      <c r="V82" s="87"/>
      <c r="W82" s="87"/>
      <c r="X82" s="87"/>
      <c r="Y82" s="87"/>
      <c r="AH82" s="87"/>
      <c r="AI82" s="93"/>
    </row>
    <row r="83" spans="1:247" s="132" customFormat="1" ht="12.75">
      <c r="A83" s="131" t="s">
        <v>513</v>
      </c>
      <c r="AG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row>
    <row r="84" spans="1:247">
      <c r="A84" s="133" t="s">
        <v>514</v>
      </c>
      <c r="B84" s="133"/>
      <c r="C84" s="133"/>
      <c r="D84" s="133"/>
      <c r="E84" s="133"/>
      <c r="F84" s="133"/>
      <c r="G84" s="95"/>
      <c r="H84" s="95"/>
      <c r="I84" s="95"/>
      <c r="J84" s="95"/>
      <c r="K84" s="95"/>
      <c r="L84" s="95"/>
      <c r="M84" s="95"/>
      <c r="N84" s="95"/>
      <c r="O84" s="95"/>
      <c r="P84" s="95"/>
      <c r="Q84" s="95"/>
      <c r="R84" s="95"/>
      <c r="S84" s="95"/>
      <c r="T84" s="95"/>
      <c r="U84" s="95"/>
      <c r="V84" s="95"/>
      <c r="W84" s="95"/>
      <c r="X84" s="95"/>
      <c r="Y84" s="95"/>
      <c r="Z84" s="95"/>
      <c r="AA84" s="95"/>
      <c r="AB84" s="95"/>
      <c r="AC84" s="95"/>
      <c r="AD84" s="95"/>
      <c r="AE84" s="95"/>
      <c r="AG84" s="95"/>
    </row>
    <row r="85" spans="1:247" ht="22.5">
      <c r="A85" s="136" t="s">
        <v>510</v>
      </c>
      <c r="B85" s="137" t="s">
        <v>511</v>
      </c>
      <c r="C85" s="177" t="s">
        <v>236</v>
      </c>
      <c r="D85" s="26" t="s">
        <v>34</v>
      </c>
      <c r="E85" s="27" t="s">
        <v>227</v>
      </c>
      <c r="F85" s="27" t="s">
        <v>39</v>
      </c>
      <c r="G85" s="26" t="s">
        <v>238</v>
      </c>
      <c r="H85" s="27" t="s">
        <v>527</v>
      </c>
      <c r="I85" s="26" t="s">
        <v>40</v>
      </c>
      <c r="J85" s="27" t="s">
        <v>42</v>
      </c>
      <c r="K85" s="26" t="s">
        <v>43</v>
      </c>
      <c r="L85" s="27" t="s">
        <v>228</v>
      </c>
      <c r="M85" s="27" t="s">
        <v>249</v>
      </c>
      <c r="N85" s="26" t="s">
        <v>240</v>
      </c>
      <c r="O85" s="26" t="s">
        <v>47</v>
      </c>
      <c r="P85" s="27" t="s">
        <v>45</v>
      </c>
      <c r="Q85" s="27" t="s">
        <v>242</v>
      </c>
      <c r="R85" s="27" t="s">
        <v>52</v>
      </c>
      <c r="S85" s="27" t="s">
        <v>487</v>
      </c>
      <c r="T85" s="27" t="s">
        <v>485</v>
      </c>
      <c r="U85" s="26" t="s">
        <v>554</v>
      </c>
      <c r="V85" s="26" t="s">
        <v>243</v>
      </c>
      <c r="W85" s="27" t="s">
        <v>244</v>
      </c>
      <c r="X85" s="26" t="s">
        <v>50</v>
      </c>
      <c r="Y85" s="27" t="s">
        <v>229</v>
      </c>
      <c r="Z85" s="26" t="s">
        <v>245</v>
      </c>
      <c r="AA85" s="26" t="s">
        <v>246</v>
      </c>
      <c r="AB85" s="26" t="s">
        <v>53</v>
      </c>
      <c r="AC85" s="26" t="s">
        <v>417</v>
      </c>
      <c r="AD85" s="26" t="s">
        <v>603</v>
      </c>
      <c r="AE85" s="27" t="s">
        <v>499</v>
      </c>
      <c r="AF85" s="27" t="s">
        <v>500</v>
      </c>
      <c r="AG85" s="99"/>
      <c r="AH85" s="26" t="s">
        <v>345</v>
      </c>
      <c r="AI85" s="27" t="s">
        <v>342</v>
      </c>
      <c r="AJ85" s="27" t="s">
        <v>343</v>
      </c>
    </row>
    <row r="86" spans="1:247" ht="9.9499999999999993" customHeight="1">
      <c r="A86" s="141"/>
      <c r="B86" s="142"/>
      <c r="C86" s="178">
        <v>2006</v>
      </c>
      <c r="D86" s="27" t="s">
        <v>562</v>
      </c>
      <c r="E86" s="27">
        <v>2013</v>
      </c>
      <c r="F86" s="27">
        <v>2015</v>
      </c>
      <c r="G86" s="27">
        <v>2001</v>
      </c>
      <c r="H86" s="27" t="s">
        <v>41</v>
      </c>
      <c r="I86" s="27" t="s">
        <v>41</v>
      </c>
      <c r="J86" s="27" t="s">
        <v>41</v>
      </c>
      <c r="K86" s="27" t="s">
        <v>44</v>
      </c>
      <c r="L86" s="27">
        <v>2013</v>
      </c>
      <c r="M86" s="27">
        <v>2010</v>
      </c>
      <c r="N86" s="27">
        <v>2005</v>
      </c>
      <c r="O86" s="27" t="s">
        <v>48</v>
      </c>
      <c r="P86" s="27">
        <v>2021</v>
      </c>
      <c r="Q86" s="27">
        <v>2014</v>
      </c>
      <c r="R86" s="27">
        <v>2003</v>
      </c>
      <c r="S86" s="27">
        <v>2003</v>
      </c>
      <c r="T86" s="27">
        <v>2013</v>
      </c>
      <c r="U86" s="27">
        <v>2014</v>
      </c>
      <c r="V86" s="27">
        <v>2016</v>
      </c>
      <c r="W86" s="27" t="s">
        <v>41</v>
      </c>
      <c r="X86" s="27" t="s">
        <v>51</v>
      </c>
      <c r="Y86" s="27">
        <v>2013</v>
      </c>
      <c r="Z86" s="27">
        <v>1999</v>
      </c>
      <c r="AA86" s="27" t="s">
        <v>247</v>
      </c>
      <c r="AB86" s="27" t="s">
        <v>41</v>
      </c>
      <c r="AC86" s="27">
        <v>2010</v>
      </c>
      <c r="AD86" s="27" t="s">
        <v>54</v>
      </c>
      <c r="AE86" s="27" t="s">
        <v>55</v>
      </c>
      <c r="AF86" s="27">
        <v>2022</v>
      </c>
      <c r="AG86" s="99"/>
      <c r="AH86" s="27">
        <v>2008</v>
      </c>
      <c r="AI86" s="27" t="s">
        <v>403</v>
      </c>
      <c r="AJ86" s="27">
        <v>2010</v>
      </c>
    </row>
    <row r="87" spans="1:247" s="149" customFormat="1" ht="9.9499999999999993" customHeight="1">
      <c r="A87" s="145">
        <v>1</v>
      </c>
      <c r="B87" s="201" t="s">
        <v>3</v>
      </c>
      <c r="C87" s="211">
        <v>172</v>
      </c>
      <c r="D87" s="211">
        <v>219.07872</v>
      </c>
      <c r="E87" s="212">
        <v>199.23249736273337</v>
      </c>
      <c r="F87" s="212">
        <v>268.28390385835377</v>
      </c>
      <c r="G87" s="211">
        <v>194.58598564497333</v>
      </c>
      <c r="H87" s="212">
        <v>244.85325166053735</v>
      </c>
      <c r="I87" s="211">
        <v>209.89100100000002</v>
      </c>
      <c r="J87" s="212">
        <v>175.3629890807955</v>
      </c>
      <c r="K87" s="211">
        <v>205.45386466666665</v>
      </c>
      <c r="L87" s="212">
        <v>184.5366741634565</v>
      </c>
      <c r="M87" s="212">
        <v>202.50625471415381</v>
      </c>
      <c r="N87" s="212">
        <v>194.93270000000001</v>
      </c>
      <c r="O87" s="212">
        <v>133.11971288918906</v>
      </c>
      <c r="P87" s="212">
        <v>292</v>
      </c>
      <c r="Q87" s="212">
        <v>269.38647176128524</v>
      </c>
      <c r="R87" s="212">
        <v>288.46830888374137</v>
      </c>
      <c r="S87" s="212">
        <v>279.25739388292271</v>
      </c>
      <c r="T87" s="212">
        <v>238.86638993384352</v>
      </c>
      <c r="U87" s="211">
        <v>236.3285411</v>
      </c>
      <c r="V87" s="211">
        <v>201.43256945233304</v>
      </c>
      <c r="W87" s="212">
        <v>205</v>
      </c>
      <c r="X87" s="211">
        <v>199.98745200000002</v>
      </c>
      <c r="Y87" s="212">
        <v>203.20055349085499</v>
      </c>
      <c r="Z87" s="213">
        <v>231.28491620111734</v>
      </c>
      <c r="AA87" s="213">
        <v>234.1626129256428</v>
      </c>
      <c r="AB87" s="197">
        <v>166.75361959999998</v>
      </c>
      <c r="AC87" s="213">
        <v>275.19110493398193</v>
      </c>
      <c r="AD87" s="212">
        <v>133.94723669999999</v>
      </c>
      <c r="AE87" s="212">
        <v>216.20476138540417</v>
      </c>
      <c r="AF87" s="212">
        <v>248.02300238999999</v>
      </c>
      <c r="AG87" s="140"/>
      <c r="AH87" s="147">
        <v>291</v>
      </c>
      <c r="AI87" s="147">
        <v>184.70367524046912</v>
      </c>
      <c r="AJ87" s="147">
        <v>195.03344999999999</v>
      </c>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86"/>
      <c r="CD87" s="86"/>
      <c r="CE87" s="86"/>
      <c r="CF87" s="86"/>
      <c r="CG87" s="86"/>
      <c r="CH87" s="86"/>
      <c r="CI87" s="86"/>
      <c r="CJ87" s="86"/>
      <c r="CK87" s="86"/>
      <c r="CL87" s="86"/>
      <c r="CM87" s="86"/>
      <c r="CN87" s="86"/>
      <c r="CO87" s="86"/>
      <c r="CP87" s="86"/>
      <c r="CQ87" s="86"/>
      <c r="CR87" s="86"/>
      <c r="CS87" s="86"/>
      <c r="CT87" s="86"/>
      <c r="CU87" s="86"/>
      <c r="CV87" s="86"/>
      <c r="CW87" s="86"/>
      <c r="CX87" s="86"/>
      <c r="CY87" s="86"/>
      <c r="CZ87" s="86"/>
      <c r="DA87" s="86"/>
      <c r="DB87" s="86"/>
      <c r="DC87" s="86"/>
      <c r="DD87" s="86"/>
      <c r="DE87" s="86"/>
      <c r="DF87" s="86"/>
      <c r="DG87" s="86"/>
      <c r="DH87" s="86"/>
      <c r="DI87" s="86"/>
      <c r="DJ87" s="86"/>
      <c r="DK87" s="86"/>
      <c r="DL87" s="86"/>
      <c r="DM87" s="86"/>
      <c r="DN87" s="86"/>
      <c r="DO87" s="86"/>
      <c r="DP87" s="86"/>
      <c r="DQ87" s="86"/>
      <c r="DR87" s="86"/>
      <c r="DS87" s="86"/>
      <c r="DT87" s="86"/>
      <c r="DU87" s="86"/>
      <c r="DV87" s="86"/>
      <c r="DW87" s="86"/>
      <c r="DX87" s="86"/>
      <c r="DY87" s="86"/>
      <c r="DZ87" s="86"/>
      <c r="EA87" s="86"/>
      <c r="EB87" s="86"/>
      <c r="EC87" s="86"/>
      <c r="ED87" s="86"/>
      <c r="EE87" s="86"/>
      <c r="EF87" s="86"/>
      <c r="EG87" s="86"/>
      <c r="EH87" s="86"/>
      <c r="EI87" s="86"/>
      <c r="EJ87" s="86"/>
      <c r="EK87" s="86"/>
      <c r="EL87" s="86"/>
      <c r="EM87" s="86"/>
      <c r="EN87" s="86"/>
      <c r="EO87" s="86"/>
      <c r="EP87" s="86"/>
      <c r="EQ87" s="86"/>
      <c r="ER87" s="86"/>
      <c r="ES87" s="86"/>
      <c r="ET87" s="86"/>
      <c r="EU87" s="86"/>
      <c r="EV87" s="86"/>
      <c r="EW87" s="86"/>
      <c r="EX87" s="86"/>
      <c r="EY87" s="86"/>
      <c r="EZ87" s="86"/>
      <c r="FA87" s="86"/>
      <c r="FB87" s="86"/>
      <c r="FC87" s="86"/>
      <c r="FD87" s="86"/>
      <c r="FE87" s="86"/>
      <c r="FF87" s="86"/>
      <c r="FG87" s="86"/>
      <c r="FH87" s="86"/>
      <c r="FI87" s="86"/>
      <c r="FJ87" s="86"/>
      <c r="FK87" s="86"/>
      <c r="FL87" s="86"/>
      <c r="FM87" s="86"/>
      <c r="FN87" s="86"/>
      <c r="FO87" s="86"/>
      <c r="FP87" s="86"/>
      <c r="FQ87" s="86"/>
      <c r="FR87" s="86"/>
      <c r="FS87" s="86"/>
      <c r="FT87" s="86"/>
      <c r="FU87" s="86"/>
      <c r="FV87" s="86"/>
      <c r="FW87" s="86"/>
      <c r="FX87" s="86"/>
      <c r="FY87" s="86"/>
      <c r="FZ87" s="86"/>
      <c r="GA87" s="86"/>
      <c r="GB87" s="86"/>
      <c r="GC87" s="86"/>
      <c r="GD87" s="86"/>
      <c r="GE87" s="86"/>
      <c r="GF87" s="86"/>
      <c r="GG87" s="86"/>
      <c r="GH87" s="86"/>
      <c r="GI87" s="86"/>
      <c r="GJ87" s="86"/>
      <c r="GK87" s="86"/>
      <c r="GL87" s="86"/>
      <c r="GM87" s="86"/>
      <c r="GN87" s="86"/>
      <c r="GO87" s="86"/>
      <c r="GP87" s="86"/>
      <c r="GQ87" s="86"/>
      <c r="GR87" s="86"/>
      <c r="GS87" s="86"/>
      <c r="GT87" s="86"/>
      <c r="GU87" s="86"/>
      <c r="GV87" s="86"/>
      <c r="GW87" s="86"/>
      <c r="GX87" s="86"/>
      <c r="GY87" s="86"/>
      <c r="GZ87" s="86"/>
      <c r="HA87" s="86"/>
      <c r="HB87" s="86"/>
      <c r="HC87" s="86"/>
      <c r="HD87" s="86"/>
      <c r="HE87" s="86"/>
      <c r="HF87" s="86"/>
      <c r="HG87" s="86"/>
      <c r="HH87" s="86"/>
      <c r="HI87" s="86"/>
      <c r="HJ87" s="86"/>
      <c r="HK87" s="86"/>
      <c r="HL87" s="86"/>
      <c r="HM87" s="86"/>
      <c r="HN87" s="86"/>
      <c r="HO87" s="86"/>
      <c r="HP87" s="86"/>
      <c r="HQ87" s="86"/>
      <c r="HR87" s="86"/>
      <c r="HS87" s="86"/>
      <c r="HT87" s="86"/>
      <c r="HU87" s="86"/>
      <c r="HV87" s="86"/>
      <c r="HW87" s="86"/>
      <c r="HX87" s="86"/>
      <c r="HY87" s="86"/>
      <c r="HZ87" s="86"/>
      <c r="IA87" s="86"/>
      <c r="IB87" s="86"/>
      <c r="IC87" s="86"/>
      <c r="ID87" s="86"/>
      <c r="IE87" s="86"/>
      <c r="IF87" s="86"/>
      <c r="IG87" s="86"/>
      <c r="IH87" s="86"/>
      <c r="II87" s="86"/>
      <c r="IJ87" s="86"/>
      <c r="IK87" s="86"/>
      <c r="IL87" s="86"/>
      <c r="IM87" s="86"/>
    </row>
    <row r="88" spans="1:247" ht="9.9499999999999993" customHeight="1">
      <c r="A88" s="150">
        <v>1.1000000000000001</v>
      </c>
      <c r="B88" s="202" t="s">
        <v>4</v>
      </c>
      <c r="C88" s="40">
        <v>128</v>
      </c>
      <c r="D88" s="40">
        <v>163.93965570252101</v>
      </c>
      <c r="E88" s="67">
        <v>134.49019560518832</v>
      </c>
      <c r="F88" s="67">
        <v>205.96109796921738</v>
      </c>
      <c r="G88" s="40">
        <v>146.96370698440825</v>
      </c>
      <c r="H88" s="67">
        <v>190.69854678673062</v>
      </c>
      <c r="I88" s="40">
        <v>157.0299</v>
      </c>
      <c r="J88" s="67">
        <v>117.99821034942636</v>
      </c>
      <c r="K88" s="40">
        <v>154.48500000000001</v>
      </c>
      <c r="L88" s="67">
        <v>119.55387876539494</v>
      </c>
      <c r="M88" s="67">
        <v>141.09973126809174</v>
      </c>
      <c r="N88" s="67">
        <v>140.2225</v>
      </c>
      <c r="O88" s="67">
        <v>84.048203388998473</v>
      </c>
      <c r="P88" s="67">
        <v>226</v>
      </c>
      <c r="Q88" s="67">
        <v>174.02797393721343</v>
      </c>
      <c r="R88" s="67">
        <v>241.57243867899635</v>
      </c>
      <c r="S88" s="67">
        <v>240.77652508784661</v>
      </c>
      <c r="T88" s="67">
        <v>169.72136463873392</v>
      </c>
      <c r="U88" s="40">
        <v>165.99700000000001</v>
      </c>
      <c r="V88" s="40">
        <v>145.8967280339954</v>
      </c>
      <c r="W88" s="67">
        <v>160</v>
      </c>
      <c r="X88" s="40">
        <v>129.49600000000001</v>
      </c>
      <c r="Y88" s="67">
        <v>150.0990227294968</v>
      </c>
      <c r="Z88" s="40">
        <v>178.99441340782121</v>
      </c>
      <c r="AA88" s="40">
        <v>169.1174426685198</v>
      </c>
      <c r="AB88" s="40">
        <v>120.7323</v>
      </c>
      <c r="AC88" s="40">
        <v>213.14801945795691</v>
      </c>
      <c r="AD88" s="67">
        <v>85.165880000000001</v>
      </c>
      <c r="AE88" s="67">
        <v>159.43898561229821</v>
      </c>
      <c r="AF88" s="67">
        <v>199.14060982799998</v>
      </c>
      <c r="AG88" s="140"/>
      <c r="AH88" s="138">
        <v>228</v>
      </c>
      <c r="AI88" s="138">
        <v>148.86333586876347</v>
      </c>
      <c r="AJ88" s="138">
        <v>116.2538</v>
      </c>
    </row>
    <row r="89" spans="1:247" ht="9.9499999999999993" customHeight="1">
      <c r="A89" s="150">
        <v>1.2</v>
      </c>
      <c r="B89" s="202" t="s">
        <v>5</v>
      </c>
      <c r="C89" s="40">
        <v>18</v>
      </c>
      <c r="D89" s="40">
        <v>21.051958882488901</v>
      </c>
      <c r="E89" s="67">
        <v>23.608361965868752</v>
      </c>
      <c r="F89" s="67">
        <v>24.934876936300412</v>
      </c>
      <c r="G89" s="40">
        <v>18.188859837740001</v>
      </c>
      <c r="H89" s="67">
        <v>28.697821690586576</v>
      </c>
      <c r="I89" s="40">
        <v>20.23124</v>
      </c>
      <c r="J89" s="67">
        <v>19.766851733717623</v>
      </c>
      <c r="K89" s="40">
        <v>24.105516666666666</v>
      </c>
      <c r="L89" s="67">
        <v>21.516310349135566</v>
      </c>
      <c r="M89" s="67">
        <v>24.156995434969286</v>
      </c>
      <c r="N89" s="67">
        <v>19.604679999999998</v>
      </c>
      <c r="O89" s="67">
        <v>16.049791066362314</v>
      </c>
      <c r="P89" s="67">
        <v>32</v>
      </c>
      <c r="Q89" s="67">
        <v>41.264575634833847</v>
      </c>
      <c r="R89" s="67">
        <v>31.492358933066839</v>
      </c>
      <c r="S89" s="67">
        <v>25.743810813558053</v>
      </c>
      <c r="T89" s="67">
        <v>31.66140225710209</v>
      </c>
      <c r="U89" s="40">
        <v>26.446601000000001</v>
      </c>
      <c r="V89" s="40">
        <v>25.912634731073123</v>
      </c>
      <c r="W89" s="67">
        <v>18</v>
      </c>
      <c r="X89" s="40">
        <v>22.831479999999999</v>
      </c>
      <c r="Y89" s="67">
        <v>22.117048969268183</v>
      </c>
      <c r="Z89" s="40">
        <v>20.111731843575416</v>
      </c>
      <c r="AA89" s="40">
        <v>24.016678248783876</v>
      </c>
      <c r="AB89" s="40">
        <v>18.560189999999999</v>
      </c>
      <c r="AC89" s="40">
        <v>30.020847810979845</v>
      </c>
      <c r="AD89" s="67">
        <v>17.75179</v>
      </c>
      <c r="AE89" s="67">
        <v>29.565334408222618</v>
      </c>
      <c r="AF89" s="67">
        <v>13.570545498</v>
      </c>
      <c r="AG89" s="140"/>
      <c r="AH89" s="138">
        <v>38</v>
      </c>
      <c r="AI89" s="138">
        <v>17.700704221491876</v>
      </c>
      <c r="AJ89" s="138">
        <v>29.084530000000001</v>
      </c>
    </row>
    <row r="90" spans="1:247" ht="9.9499999999999993" customHeight="1">
      <c r="A90" s="150">
        <v>1.3</v>
      </c>
      <c r="B90" s="202" t="s">
        <v>6</v>
      </c>
      <c r="C90" s="40">
        <v>15</v>
      </c>
      <c r="D90" s="40">
        <v>16.8079336863339</v>
      </c>
      <c r="E90" s="67">
        <v>24.917945616713631</v>
      </c>
      <c r="F90" s="67">
        <v>20.487019647601095</v>
      </c>
      <c r="G90" s="40">
        <v>19.334951832341734</v>
      </c>
      <c r="H90" s="67">
        <v>24.460048151733186</v>
      </c>
      <c r="I90" s="40">
        <v>30.52505</v>
      </c>
      <c r="J90" s="67">
        <v>23.68667207751853</v>
      </c>
      <c r="K90" s="40">
        <v>13.922703333333335</v>
      </c>
      <c r="L90" s="67">
        <v>23.723713308893235</v>
      </c>
      <c r="M90" s="67">
        <v>24.664661280518452</v>
      </c>
      <c r="N90" s="67">
        <v>35.105519999999999</v>
      </c>
      <c r="O90" s="67">
        <v>12.358494510386571</v>
      </c>
      <c r="P90" s="230">
        <v>34</v>
      </c>
      <c r="Q90" s="67">
        <v>35.312727236424095</v>
      </c>
      <c r="R90" s="67">
        <v>10.832922260887619</v>
      </c>
      <c r="S90" s="67">
        <v>8.6736633830236194</v>
      </c>
      <c r="T90" s="67">
        <v>25.75022700739396</v>
      </c>
      <c r="U90" s="40">
        <v>31.909569999999999</v>
      </c>
      <c r="V90" s="40">
        <v>12.417826282186624</v>
      </c>
      <c r="W90" s="67">
        <v>16</v>
      </c>
      <c r="X90" s="40">
        <v>29.286629999999999</v>
      </c>
      <c r="Y90" s="67">
        <v>21.69318343471916</v>
      </c>
      <c r="Z90" s="40">
        <v>23.128491620111738</v>
      </c>
      <c r="AA90" s="40">
        <v>22.015288394718553</v>
      </c>
      <c r="AB90" s="40">
        <v>17.22439</v>
      </c>
      <c r="AC90" s="40">
        <v>33.022932592077829</v>
      </c>
      <c r="AD90" s="67">
        <v>16.396049999999999</v>
      </c>
      <c r="AE90" s="67">
        <v>12.319639198480525</v>
      </c>
      <c r="AF90" s="67">
        <v>19.268463204</v>
      </c>
      <c r="AG90" s="140"/>
      <c r="AH90" s="138">
        <v>25</v>
      </c>
      <c r="AI90" s="138">
        <v>9.6314463561689294</v>
      </c>
      <c r="AJ90" s="138">
        <v>22.165849999999999</v>
      </c>
    </row>
    <row r="91" spans="1:247" ht="9.9499999999999993" customHeight="1">
      <c r="A91" s="150">
        <v>1.4</v>
      </c>
      <c r="B91" s="203" t="s">
        <v>7</v>
      </c>
      <c r="C91" s="40">
        <v>11</v>
      </c>
      <c r="D91" s="40">
        <v>11.7812857867311</v>
      </c>
      <c r="E91" s="67">
        <v>16.215994174962646</v>
      </c>
      <c r="F91" s="67">
        <v>15.813876648510819</v>
      </c>
      <c r="G91" s="40">
        <v>10.098466990483393</v>
      </c>
      <c r="H91" s="67">
        <v>0.99683503148697106</v>
      </c>
      <c r="I91" s="40" t="s">
        <v>248</v>
      </c>
      <c r="J91" s="67">
        <v>12.420541089384958</v>
      </c>
      <c r="K91" s="40">
        <v>9.4458649999999995</v>
      </c>
      <c r="L91" s="67">
        <v>19.742771740032776</v>
      </c>
      <c r="M91" s="67">
        <v>12.584866730574312</v>
      </c>
      <c r="N91" s="67" t="s">
        <v>248</v>
      </c>
      <c r="O91" s="67">
        <v>16.472275716390818</v>
      </c>
      <c r="P91" s="230"/>
      <c r="Q91" s="67">
        <v>18.78119495281387</v>
      </c>
      <c r="R91" s="67">
        <v>4.5705890107905036</v>
      </c>
      <c r="S91" s="67">
        <v>4.063394598494436</v>
      </c>
      <c r="T91" s="67">
        <v>11.733396030613569</v>
      </c>
      <c r="U91" s="40">
        <v>11.41868</v>
      </c>
      <c r="V91" s="40">
        <v>12.398042827278376</v>
      </c>
      <c r="W91" s="67">
        <v>12</v>
      </c>
      <c r="X91" s="40">
        <v>13.826840000000001</v>
      </c>
      <c r="Y91" s="67">
        <v>9.2912983573708576</v>
      </c>
      <c r="Z91" s="40">
        <v>9.050279329608939</v>
      </c>
      <c r="AA91" s="40">
        <v>19.013203613620568</v>
      </c>
      <c r="AB91" s="40">
        <v>8.6191270000000006</v>
      </c>
      <c r="AC91" s="67" t="s">
        <v>248</v>
      </c>
      <c r="AD91" s="67">
        <v>14.342000000000001</v>
      </c>
      <c r="AE91" s="67">
        <v>12.532156182627816</v>
      </c>
      <c r="AF91" s="67">
        <v>12.043987338000001</v>
      </c>
      <c r="AG91" s="140"/>
      <c r="AH91" s="138" t="s">
        <v>248</v>
      </c>
      <c r="AI91" s="138">
        <v>8.5081887940448393</v>
      </c>
      <c r="AJ91" s="138">
        <v>13.070830000000001</v>
      </c>
    </row>
    <row r="92" spans="1:247" ht="9.9499999999999993" customHeight="1">
      <c r="A92" s="150">
        <v>1.5</v>
      </c>
      <c r="B92" s="203" t="s">
        <v>8</v>
      </c>
      <c r="C92" s="40" t="s">
        <v>248</v>
      </c>
      <c r="D92" s="40">
        <v>1.7037611090007601</v>
      </c>
      <c r="E92" s="67" t="s">
        <v>248</v>
      </c>
      <c r="F92" s="67">
        <v>1.0870326567240653</v>
      </c>
      <c r="G92" s="40" t="s">
        <v>248</v>
      </c>
      <c r="H92" s="67" t="s">
        <v>248</v>
      </c>
      <c r="I92" s="40" t="s">
        <v>248</v>
      </c>
      <c r="J92" s="67">
        <v>1.3238211161101436</v>
      </c>
      <c r="K92" s="40">
        <v>0.608483</v>
      </c>
      <c r="L92" s="121" t="s">
        <v>248</v>
      </c>
      <c r="M92" s="48" t="s">
        <v>248</v>
      </c>
      <c r="N92" s="48" t="s">
        <v>248</v>
      </c>
      <c r="O92" s="67">
        <v>1.0583932826592659</v>
      </c>
      <c r="P92" s="48" t="s">
        <v>248</v>
      </c>
      <c r="Q92" s="48" t="s">
        <v>248</v>
      </c>
      <c r="R92" s="48" t="s">
        <v>248</v>
      </c>
      <c r="S92" s="48" t="s">
        <v>248</v>
      </c>
      <c r="T92" s="48" t="s">
        <v>248</v>
      </c>
      <c r="U92" s="40">
        <v>0.55669009999999997</v>
      </c>
      <c r="V92" s="41">
        <v>1.4607135342169195</v>
      </c>
      <c r="W92" s="48" t="s">
        <v>248</v>
      </c>
      <c r="X92" s="48" t="s">
        <v>248</v>
      </c>
      <c r="Y92" s="67" t="s">
        <v>248</v>
      </c>
      <c r="Z92" s="67" t="s">
        <v>248</v>
      </c>
      <c r="AA92" s="67" t="s">
        <v>248</v>
      </c>
      <c r="AB92" s="40">
        <v>1.2085710000000001</v>
      </c>
      <c r="AC92" s="67" t="s">
        <v>248</v>
      </c>
      <c r="AD92" s="67" t="s">
        <v>248</v>
      </c>
      <c r="AE92" s="67">
        <v>1.3946777409385587</v>
      </c>
      <c r="AF92" s="67">
        <v>0.73670168999999996</v>
      </c>
      <c r="AG92" s="140"/>
      <c r="AH92" s="138" t="s">
        <v>248</v>
      </c>
      <c r="AI92" s="138" t="s">
        <v>248</v>
      </c>
      <c r="AJ92" s="138" t="s">
        <v>248</v>
      </c>
    </row>
    <row r="93" spans="1:247" ht="9.9499999999999993" customHeight="1">
      <c r="A93" s="150">
        <v>1.6</v>
      </c>
      <c r="B93" s="203" t="s">
        <v>9</v>
      </c>
      <c r="C93" s="40" t="s">
        <v>248</v>
      </c>
      <c r="D93" s="40">
        <v>3.7941270481393299</v>
      </c>
      <c r="E93" s="67" t="s">
        <v>248</v>
      </c>
      <c r="F93" s="67" t="s">
        <v>248</v>
      </c>
      <c r="G93" s="40" t="s">
        <v>248</v>
      </c>
      <c r="H93" s="67" t="s">
        <v>248</v>
      </c>
      <c r="I93" s="40">
        <v>2.1048110000000002</v>
      </c>
      <c r="J93" s="67">
        <v>0.16689271463788183</v>
      </c>
      <c r="K93" s="40">
        <v>2.8862966666666665</v>
      </c>
      <c r="L93" s="121" t="s">
        <v>248</v>
      </c>
      <c r="M93" s="48" t="s">
        <v>248</v>
      </c>
      <c r="N93" s="48" t="s">
        <v>248</v>
      </c>
      <c r="O93" s="67">
        <v>3.1325549243916102</v>
      </c>
      <c r="P93" s="48" t="s">
        <v>248</v>
      </c>
      <c r="Q93" s="48" t="s">
        <v>248</v>
      </c>
      <c r="R93" s="48" t="s">
        <v>248</v>
      </c>
      <c r="S93" s="48" t="s">
        <v>248</v>
      </c>
      <c r="T93" s="48" t="s">
        <v>248</v>
      </c>
      <c r="U93" s="48" t="s">
        <v>248</v>
      </c>
      <c r="V93" s="41">
        <v>3.3466240435825991</v>
      </c>
      <c r="W93" s="48" t="s">
        <v>248</v>
      </c>
      <c r="X93" s="40">
        <v>4.5465020000000003</v>
      </c>
      <c r="Y93" s="67" t="s">
        <v>248</v>
      </c>
      <c r="Z93" s="67" t="s">
        <v>248</v>
      </c>
      <c r="AA93" s="67" t="s">
        <v>248</v>
      </c>
      <c r="AB93" s="40">
        <v>0</v>
      </c>
      <c r="AC93" s="67" t="s">
        <v>248</v>
      </c>
      <c r="AD93" s="67">
        <v>0</v>
      </c>
      <c r="AE93" s="67">
        <v>0.9539682428364632</v>
      </c>
      <c r="AF93" s="67">
        <v>3.2626948259999997</v>
      </c>
      <c r="AG93" s="140"/>
      <c r="AH93" s="138" t="s">
        <v>248</v>
      </c>
      <c r="AI93" s="138" t="s">
        <v>248</v>
      </c>
      <c r="AJ93" s="138">
        <v>14.45844</v>
      </c>
    </row>
    <row r="94" spans="1:247" s="149" customFormat="1" ht="9.9499999999999993" customHeight="1">
      <c r="A94" s="145">
        <v>2</v>
      </c>
      <c r="B94" s="204" t="s">
        <v>10</v>
      </c>
      <c r="C94" s="198">
        <v>311</v>
      </c>
      <c r="D94" s="198">
        <v>237.79821000000001</v>
      </c>
      <c r="E94" s="189">
        <v>237.32297201649885</v>
      </c>
      <c r="F94" s="189">
        <v>223.65640946944225</v>
      </c>
      <c r="G94" s="198">
        <v>242.80872090772155</v>
      </c>
      <c r="H94" s="189">
        <v>249.21239232687756</v>
      </c>
      <c r="I94" s="198">
        <v>235.76946800000002</v>
      </c>
      <c r="J94" s="189">
        <v>224.03084764937225</v>
      </c>
      <c r="K94" s="198">
        <v>242.27837483333332</v>
      </c>
      <c r="L94" s="189">
        <v>259.48146483807767</v>
      </c>
      <c r="M94" s="189">
        <v>293.76732468358944</v>
      </c>
      <c r="N94" s="189">
        <v>292.50830299999996</v>
      </c>
      <c r="O94" s="189">
        <v>306.33594118203092</v>
      </c>
      <c r="P94" s="189">
        <v>208</v>
      </c>
      <c r="Q94" s="189">
        <v>215.00893666260768</v>
      </c>
      <c r="R94" s="189">
        <v>253.25411262419991</v>
      </c>
      <c r="S94" s="189">
        <v>291.95165906622367</v>
      </c>
      <c r="T94" s="189">
        <v>239.61742768193025</v>
      </c>
      <c r="U94" s="198">
        <v>331.290818</v>
      </c>
      <c r="V94" s="198">
        <v>224.94610999729392</v>
      </c>
      <c r="W94" s="189">
        <v>264</v>
      </c>
      <c r="X94" s="198">
        <v>227.40991700000001</v>
      </c>
      <c r="Y94" s="189">
        <v>295.00822903337445</v>
      </c>
      <c r="Z94" s="198">
        <v>328.15642458100558</v>
      </c>
      <c r="AA94" s="198">
        <v>286.19874913134117</v>
      </c>
      <c r="AB94" s="198">
        <v>289.1279055</v>
      </c>
      <c r="AC94" s="198">
        <v>220.15288394718553</v>
      </c>
      <c r="AD94" s="189">
        <v>305.04739499999999</v>
      </c>
      <c r="AE94" s="189">
        <v>248.63229019063292</v>
      </c>
      <c r="AF94" s="189">
        <v>227.87044628400002</v>
      </c>
      <c r="AG94" s="140"/>
      <c r="AH94" s="147">
        <v>234</v>
      </c>
      <c r="AI94" s="147">
        <v>351.93530639285547</v>
      </c>
      <c r="AJ94" s="147">
        <v>249.5884149</v>
      </c>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6"/>
      <c r="CC94" s="86"/>
      <c r="CD94" s="86"/>
      <c r="CE94" s="86"/>
      <c r="CF94" s="86"/>
      <c r="CG94" s="86"/>
      <c r="CH94" s="86"/>
      <c r="CI94" s="86"/>
      <c r="CJ94" s="86"/>
      <c r="CK94" s="86"/>
      <c r="CL94" s="86"/>
      <c r="CM94" s="86"/>
      <c r="CN94" s="86"/>
      <c r="CO94" s="86"/>
      <c r="CP94" s="86"/>
      <c r="CQ94" s="86"/>
      <c r="CR94" s="86"/>
      <c r="CS94" s="86"/>
      <c r="CT94" s="86"/>
      <c r="CU94" s="86"/>
      <c r="CV94" s="86"/>
      <c r="CW94" s="86"/>
      <c r="CX94" s="86"/>
      <c r="CY94" s="86"/>
      <c r="CZ94" s="86"/>
      <c r="DA94" s="86"/>
      <c r="DB94" s="86"/>
      <c r="DC94" s="86"/>
      <c r="DD94" s="86"/>
      <c r="DE94" s="86"/>
      <c r="DF94" s="86"/>
      <c r="DG94" s="86"/>
      <c r="DH94" s="86"/>
      <c r="DI94" s="86"/>
      <c r="DJ94" s="86"/>
      <c r="DK94" s="86"/>
      <c r="DL94" s="86"/>
      <c r="DM94" s="86"/>
      <c r="DN94" s="86"/>
      <c r="DO94" s="86"/>
      <c r="DP94" s="86"/>
      <c r="DQ94" s="86"/>
      <c r="DR94" s="86"/>
      <c r="DS94" s="86"/>
      <c r="DT94" s="86"/>
      <c r="DU94" s="86"/>
      <c r="DV94" s="86"/>
      <c r="DW94" s="86"/>
      <c r="DX94" s="86"/>
      <c r="DY94" s="86"/>
      <c r="DZ94" s="86"/>
      <c r="EA94" s="86"/>
      <c r="EB94" s="86"/>
      <c r="EC94" s="86"/>
      <c r="ED94" s="86"/>
      <c r="EE94" s="86"/>
      <c r="EF94" s="86"/>
      <c r="EG94" s="86"/>
      <c r="EH94" s="86"/>
      <c r="EI94" s="86"/>
      <c r="EJ94" s="86"/>
      <c r="EK94" s="86"/>
      <c r="EL94" s="86"/>
      <c r="EM94" s="86"/>
      <c r="EN94" s="86"/>
      <c r="EO94" s="86"/>
      <c r="EP94" s="86"/>
      <c r="EQ94" s="86"/>
      <c r="ER94" s="86"/>
      <c r="ES94" s="86"/>
      <c r="ET94" s="86"/>
      <c r="EU94" s="86"/>
      <c r="EV94" s="86"/>
      <c r="EW94" s="86"/>
      <c r="EX94" s="86"/>
      <c r="EY94" s="86"/>
      <c r="EZ94" s="86"/>
      <c r="FA94" s="86"/>
      <c r="FB94" s="86"/>
      <c r="FC94" s="86"/>
      <c r="FD94" s="86"/>
      <c r="FE94" s="86"/>
      <c r="FF94" s="86"/>
      <c r="FG94" s="86"/>
      <c r="FH94" s="86"/>
      <c r="FI94" s="86"/>
      <c r="FJ94" s="86"/>
      <c r="FK94" s="86"/>
      <c r="FL94" s="86"/>
      <c r="FM94" s="86"/>
      <c r="FN94" s="86"/>
      <c r="FO94" s="86"/>
      <c r="FP94" s="86"/>
      <c r="FQ94" s="86"/>
      <c r="FR94" s="86"/>
      <c r="FS94" s="86"/>
      <c r="FT94" s="86"/>
      <c r="FU94" s="86"/>
      <c r="FV94" s="86"/>
      <c r="FW94" s="86"/>
      <c r="FX94" s="86"/>
      <c r="FY94" s="86"/>
      <c r="FZ94" s="86"/>
      <c r="GA94" s="86"/>
      <c r="GB94" s="86"/>
      <c r="GC94" s="86"/>
      <c r="GD94" s="86"/>
      <c r="GE94" s="86"/>
      <c r="GF94" s="86"/>
      <c r="GG94" s="86"/>
      <c r="GH94" s="86"/>
      <c r="GI94" s="86"/>
      <c r="GJ94" s="86"/>
      <c r="GK94" s="86"/>
      <c r="GL94" s="86"/>
      <c r="GM94" s="86"/>
      <c r="GN94" s="86"/>
      <c r="GO94" s="86"/>
      <c r="GP94" s="86"/>
      <c r="GQ94" s="86"/>
      <c r="GR94" s="86"/>
      <c r="GS94" s="86"/>
      <c r="GT94" s="86"/>
      <c r="GU94" s="86"/>
      <c r="GV94" s="86"/>
      <c r="GW94" s="86"/>
      <c r="GX94" s="86"/>
      <c r="GY94" s="86"/>
      <c r="GZ94" s="86"/>
      <c r="HA94" s="86"/>
      <c r="HB94" s="86"/>
      <c r="HC94" s="86"/>
      <c r="HD94" s="86"/>
      <c r="HE94" s="86"/>
      <c r="HF94" s="86"/>
      <c r="HG94" s="86"/>
      <c r="HH94" s="86"/>
      <c r="HI94" s="86"/>
      <c r="HJ94" s="86"/>
      <c r="HK94" s="86"/>
      <c r="HL94" s="86"/>
      <c r="HM94" s="86"/>
      <c r="HN94" s="86"/>
      <c r="HO94" s="86"/>
      <c r="HP94" s="86"/>
      <c r="HQ94" s="86"/>
      <c r="HR94" s="86"/>
      <c r="HS94" s="86"/>
      <c r="HT94" s="86"/>
      <c r="HU94" s="86"/>
      <c r="HV94" s="86"/>
      <c r="HW94" s="86"/>
      <c r="HX94" s="86"/>
      <c r="HY94" s="86"/>
      <c r="HZ94" s="86"/>
      <c r="IA94" s="86"/>
      <c r="IB94" s="86"/>
      <c r="IC94" s="86"/>
      <c r="ID94" s="86"/>
      <c r="IE94" s="86"/>
      <c r="IF94" s="86"/>
      <c r="IG94" s="86"/>
      <c r="IH94" s="86"/>
      <c r="II94" s="86"/>
      <c r="IJ94" s="86"/>
      <c r="IK94" s="86"/>
      <c r="IL94" s="86"/>
      <c r="IM94" s="86"/>
    </row>
    <row r="95" spans="1:247" ht="9.9499999999999993" customHeight="1">
      <c r="A95" s="150">
        <v>2.1</v>
      </c>
      <c r="B95" s="202" t="s">
        <v>11</v>
      </c>
      <c r="C95" s="40">
        <v>168</v>
      </c>
      <c r="D95" s="40">
        <v>148.025019112953</v>
      </c>
      <c r="E95" s="67">
        <v>153.11448720417189</v>
      </c>
      <c r="F95" s="67">
        <v>133.90981421331688</v>
      </c>
      <c r="G95" s="40">
        <v>145.03308450641524</v>
      </c>
      <c r="H95" s="67">
        <v>146.94880009055223</v>
      </c>
      <c r="I95" s="40">
        <v>134.0736</v>
      </c>
      <c r="J95" s="67">
        <v>157.46651381112545</v>
      </c>
      <c r="K95" s="40">
        <v>138.74393333333333</v>
      </c>
      <c r="L95" s="67">
        <v>193.31292832885634</v>
      </c>
      <c r="M95" s="67">
        <v>196.19018747577039</v>
      </c>
      <c r="N95" s="67">
        <v>133.81739999999999</v>
      </c>
      <c r="O95" s="67">
        <v>204.98650448125591</v>
      </c>
      <c r="P95" s="67">
        <v>139</v>
      </c>
      <c r="Q95" s="67">
        <v>130.25061002293492</v>
      </c>
      <c r="R95" s="67">
        <v>170.35072609535362</v>
      </c>
      <c r="S95" s="67">
        <v>207.41706358941897</v>
      </c>
      <c r="T95" s="67">
        <v>148.18656764820344</v>
      </c>
      <c r="U95" s="40">
        <v>274.62698999999998</v>
      </c>
      <c r="V95" s="40">
        <v>128.3273928648957</v>
      </c>
      <c r="W95" s="67">
        <v>142</v>
      </c>
      <c r="X95" s="40">
        <v>113.961</v>
      </c>
      <c r="Y95" s="67">
        <v>178.09642176242915</v>
      </c>
      <c r="Z95" s="40">
        <v>253.40782122905028</v>
      </c>
      <c r="AA95" s="40">
        <v>212.14732453092427</v>
      </c>
      <c r="AB95" s="40">
        <v>163.41370000000001</v>
      </c>
      <c r="AC95" s="40">
        <v>120.08339124391938</v>
      </c>
      <c r="AD95" s="67">
        <v>221.55009999999999</v>
      </c>
      <c r="AE95" s="67">
        <v>132.42945020007795</v>
      </c>
      <c r="AF95" s="67">
        <v>124.44658164600001</v>
      </c>
      <c r="AG95" s="140"/>
      <c r="AH95" s="138">
        <v>155</v>
      </c>
      <c r="AI95" s="138">
        <v>298.2454985666771</v>
      </c>
      <c r="AJ95" s="138">
        <v>183.36439999999999</v>
      </c>
    </row>
    <row r="96" spans="1:247" ht="9.9499999999999993" customHeight="1">
      <c r="A96" s="150">
        <v>2.2000000000000002</v>
      </c>
      <c r="B96" s="202" t="s">
        <v>12</v>
      </c>
      <c r="C96" s="40">
        <v>36.000000000000007</v>
      </c>
      <c r="D96" s="40">
        <v>24.7262760314518</v>
      </c>
      <c r="E96" s="67">
        <v>33.950900467250435</v>
      </c>
      <c r="F96" s="67">
        <v>29.293424819405949</v>
      </c>
      <c r="G96" s="40">
        <v>29.69169137925951</v>
      </c>
      <c r="H96" s="67">
        <v>27.473366051831107</v>
      </c>
      <c r="I96" s="40">
        <v>29.00656</v>
      </c>
      <c r="J96" s="67">
        <v>25.634112248325259</v>
      </c>
      <c r="K96" s="40">
        <v>37.056550000000001</v>
      </c>
      <c r="L96" s="67">
        <v>18.136906552147146</v>
      </c>
      <c r="M96" s="67">
        <v>21.595929335113532</v>
      </c>
      <c r="N96" s="67">
        <v>39.327440000000003</v>
      </c>
      <c r="O96" s="67">
        <v>32.418981208975531</v>
      </c>
      <c r="P96" s="67">
        <v>32</v>
      </c>
      <c r="Q96" s="67">
        <v>19.821152851957294</v>
      </c>
      <c r="R96" s="67">
        <v>20.396676396712447</v>
      </c>
      <c r="S96" s="67">
        <v>21.490399550386719</v>
      </c>
      <c r="T96" s="67">
        <v>29.21604617978986</v>
      </c>
      <c r="U96" s="40">
        <v>17.347539999999999</v>
      </c>
      <c r="V96" s="40">
        <v>31.774909197962423</v>
      </c>
      <c r="W96" s="67">
        <v>30</v>
      </c>
      <c r="X96" s="40">
        <v>26.09468</v>
      </c>
      <c r="Y96" s="67">
        <v>30.324749482790278</v>
      </c>
      <c r="Z96" s="40">
        <v>19.106145251396647</v>
      </c>
      <c r="AA96" s="40">
        <v>20.01389854065323</v>
      </c>
      <c r="AB96" s="40">
        <v>31.0425</v>
      </c>
      <c r="AC96" s="40">
        <v>27.01876302988186</v>
      </c>
      <c r="AD96" s="67">
        <v>14.789580000000001</v>
      </c>
      <c r="AE96" s="67">
        <v>35.507962690629235</v>
      </c>
      <c r="AF96" s="67">
        <v>21.348491562000003</v>
      </c>
      <c r="AG96" s="140"/>
      <c r="AH96" s="138">
        <v>25</v>
      </c>
      <c r="AI96" s="138">
        <v>8.9252060760673242</v>
      </c>
      <c r="AJ96" s="138">
        <v>10.733650000000001</v>
      </c>
    </row>
    <row r="97" spans="1:247" ht="9.9499999999999993" customHeight="1">
      <c r="A97" s="150">
        <v>2.2999999999999998</v>
      </c>
      <c r="B97" s="205" t="s">
        <v>13</v>
      </c>
      <c r="C97" s="40">
        <v>63.500000000000007</v>
      </c>
      <c r="D97" s="40">
        <v>36.9647367731773</v>
      </c>
      <c r="E97" s="67">
        <v>29</v>
      </c>
      <c r="F97" s="67">
        <v>39.139979977046977</v>
      </c>
      <c r="G97" s="40">
        <v>35.435034878393338</v>
      </c>
      <c r="H97" s="67">
        <v>42</v>
      </c>
      <c r="I97" s="40">
        <v>32.157617000000002</v>
      </c>
      <c r="J97" s="67">
        <v>30.000002631250201</v>
      </c>
      <c r="K97" s="40">
        <v>26.358883166666665</v>
      </c>
      <c r="L97" s="67">
        <v>25</v>
      </c>
      <c r="M97" s="67">
        <v>47</v>
      </c>
      <c r="N97" s="67">
        <v>92.890829999999994</v>
      </c>
      <c r="O97" s="67">
        <v>35.469467160980038</v>
      </c>
      <c r="P97" s="67" t="s">
        <v>248</v>
      </c>
      <c r="Q97" s="67">
        <v>44.256726761903366</v>
      </c>
      <c r="R97" s="67">
        <v>25</v>
      </c>
      <c r="S97" s="67">
        <v>30</v>
      </c>
      <c r="T97" s="67">
        <v>28</v>
      </c>
      <c r="U97" s="40">
        <v>55.470733000000003</v>
      </c>
      <c r="V97" s="40">
        <v>28.676588924143793</v>
      </c>
      <c r="W97" s="67">
        <v>44</v>
      </c>
      <c r="X97" s="40">
        <v>34</v>
      </c>
      <c r="Y97" s="67">
        <v>55</v>
      </c>
      <c r="Z97" s="40">
        <v>26.145251396648046</v>
      </c>
      <c r="AA97" s="40">
        <v>30.020847810979845</v>
      </c>
      <c r="AB97" s="40">
        <v>45</v>
      </c>
      <c r="AC97" s="40">
        <v>38.026407227241144</v>
      </c>
      <c r="AD97" s="67">
        <v>45.633295000000004</v>
      </c>
      <c r="AE97" s="67">
        <v>46.765517432258342</v>
      </c>
      <c r="AF97" s="67">
        <v>39.604996595999999</v>
      </c>
      <c r="AG97" s="140"/>
      <c r="AH97" s="138">
        <v>33</v>
      </c>
      <c r="AI97" s="138">
        <v>37.082322597102525</v>
      </c>
      <c r="AJ97" s="138">
        <v>30</v>
      </c>
    </row>
    <row r="98" spans="1:247" ht="9.9499999999999993" customHeight="1">
      <c r="A98" s="150" t="s">
        <v>0</v>
      </c>
      <c r="B98" s="205" t="s">
        <v>14</v>
      </c>
      <c r="C98" s="40" t="s">
        <v>248</v>
      </c>
      <c r="D98" s="40">
        <v>35.334609999999998</v>
      </c>
      <c r="E98" s="67">
        <v>28.949338717244331</v>
      </c>
      <c r="F98" s="67">
        <v>37.136023038114473</v>
      </c>
      <c r="G98" s="40" t="s">
        <v>248</v>
      </c>
      <c r="H98" s="67">
        <v>41.816500042782636</v>
      </c>
      <c r="I98" s="40">
        <v>30.957789999999999</v>
      </c>
      <c r="J98" s="67">
        <v>29.133492555250072</v>
      </c>
      <c r="K98" s="40">
        <v>25.381916666666665</v>
      </c>
      <c r="L98" s="67">
        <v>24.731475112934973</v>
      </c>
      <c r="M98" s="67">
        <v>47.027448532314153</v>
      </c>
      <c r="N98" s="67" t="s">
        <v>248</v>
      </c>
      <c r="O98" s="67">
        <v>32.745228627540328</v>
      </c>
      <c r="P98" s="67">
        <v>32</v>
      </c>
      <c r="Q98" s="67" t="s">
        <v>248</v>
      </c>
      <c r="R98" s="67">
        <v>24.501495823319388</v>
      </c>
      <c r="S98" s="67">
        <v>29.969205368890947</v>
      </c>
      <c r="T98" s="67">
        <v>27.983006875081074</v>
      </c>
      <c r="U98" s="40">
        <v>48.292250000000003</v>
      </c>
      <c r="V98" s="40">
        <v>28.268638668256603</v>
      </c>
      <c r="W98" s="67">
        <v>44</v>
      </c>
      <c r="X98" s="40">
        <v>34.342750000000002</v>
      </c>
      <c r="Y98" s="67">
        <v>54.562462402503989</v>
      </c>
      <c r="Z98" s="40" t="s">
        <v>248</v>
      </c>
      <c r="AA98" s="40">
        <v>30</v>
      </c>
      <c r="AB98" s="40">
        <v>41.895780000000002</v>
      </c>
      <c r="AC98" s="40">
        <v>31.02154273801251</v>
      </c>
      <c r="AD98" s="67">
        <v>43.089390000000002</v>
      </c>
      <c r="AE98" s="67">
        <v>37.342112782946046</v>
      </c>
      <c r="AF98" s="67">
        <v>36.829484471999997</v>
      </c>
      <c r="AG98" s="140"/>
      <c r="AH98" s="138" t="s">
        <v>248</v>
      </c>
      <c r="AI98" s="138" t="s">
        <v>248</v>
      </c>
      <c r="AJ98" s="138">
        <v>28.775390000000002</v>
      </c>
    </row>
    <row r="99" spans="1:247" ht="9.9499999999999993" customHeight="1">
      <c r="A99" s="150" t="s">
        <v>1</v>
      </c>
      <c r="B99" s="205" t="s">
        <v>15</v>
      </c>
      <c r="C99" s="40" t="s">
        <v>248</v>
      </c>
      <c r="D99" s="40">
        <v>1.6301237</v>
      </c>
      <c r="E99" s="67" t="s">
        <v>248</v>
      </c>
      <c r="F99" s="67">
        <v>2.0429935492188416</v>
      </c>
      <c r="G99" s="40" t="s">
        <v>248</v>
      </c>
      <c r="H99" s="67" t="s">
        <v>248</v>
      </c>
      <c r="I99" s="40">
        <v>1.199827</v>
      </c>
      <c r="J99" s="67">
        <v>0.96935798502077319</v>
      </c>
      <c r="K99" s="40">
        <v>0.97696649999999996</v>
      </c>
      <c r="L99" s="67" t="s">
        <v>248</v>
      </c>
      <c r="M99" s="67" t="s">
        <v>248</v>
      </c>
      <c r="N99" s="67" t="s">
        <v>248</v>
      </c>
      <c r="O99" s="67">
        <v>2.7242305236826163</v>
      </c>
      <c r="P99" s="230">
        <v>4</v>
      </c>
      <c r="Q99" s="67" t="s">
        <v>248</v>
      </c>
      <c r="R99" s="67" t="s">
        <v>248</v>
      </c>
      <c r="S99" s="67" t="s">
        <v>248</v>
      </c>
      <c r="T99" s="67" t="s">
        <v>248</v>
      </c>
      <c r="U99" s="40">
        <v>7.1784829999999999</v>
      </c>
      <c r="V99" s="40">
        <v>0.40795025588718964</v>
      </c>
      <c r="W99" s="67" t="s">
        <v>248</v>
      </c>
      <c r="X99" s="40">
        <v>0</v>
      </c>
      <c r="Y99" s="67" t="s">
        <v>248</v>
      </c>
      <c r="Z99" s="40" t="s">
        <v>248</v>
      </c>
      <c r="AA99" s="40" t="s">
        <v>248</v>
      </c>
      <c r="AB99" s="40">
        <v>3.494494</v>
      </c>
      <c r="AC99" s="40">
        <v>7.0048644892286314</v>
      </c>
      <c r="AD99" s="67">
        <v>2.5439050000000001</v>
      </c>
      <c r="AE99" s="67">
        <v>9.4234046493123014</v>
      </c>
      <c r="AF99" s="67">
        <v>2.775512124</v>
      </c>
      <c r="AG99" s="140"/>
      <c r="AH99" s="138" t="s">
        <v>248</v>
      </c>
      <c r="AI99" s="138" t="s">
        <v>248</v>
      </c>
      <c r="AJ99" s="138">
        <v>1.381982</v>
      </c>
    </row>
    <row r="100" spans="1:247" ht="9.9499999999999993" customHeight="1">
      <c r="A100" s="150">
        <v>2.4</v>
      </c>
      <c r="B100" s="205" t="s">
        <v>16</v>
      </c>
      <c r="C100" s="40" t="s">
        <v>248</v>
      </c>
      <c r="D100" s="40">
        <v>7.2072859999999999</v>
      </c>
      <c r="E100" s="67">
        <v>3.2194105539480353</v>
      </c>
      <c r="F100" s="67">
        <v>5.4711058283100185</v>
      </c>
      <c r="G100" s="40">
        <v>8.5649721815693898</v>
      </c>
      <c r="H100" s="67">
        <v>7.9318551323522968</v>
      </c>
      <c r="I100" s="40">
        <v>4.8553189999999997</v>
      </c>
      <c r="J100" s="67">
        <v>3.0886942709042264</v>
      </c>
      <c r="K100" s="40">
        <v>6.8912333333333331</v>
      </c>
      <c r="L100" s="67">
        <v>8.7557822949648845</v>
      </c>
      <c r="M100" s="67">
        <v>7.7090661650841987</v>
      </c>
      <c r="N100" s="67" t="s">
        <v>248</v>
      </c>
      <c r="O100" s="67">
        <v>8.3088103842936363</v>
      </c>
      <c r="P100" s="230"/>
      <c r="Q100" s="67">
        <v>1.3588468127067443</v>
      </c>
      <c r="R100" s="67">
        <v>10.179261082466173</v>
      </c>
      <c r="S100" s="67">
        <v>11.146576556313649</v>
      </c>
      <c r="T100" s="67">
        <v>2.9640355428719678</v>
      </c>
      <c r="U100" s="40">
        <v>17.53059</v>
      </c>
      <c r="V100" s="40">
        <v>8.7309182499159927</v>
      </c>
      <c r="W100" s="67">
        <v>9</v>
      </c>
      <c r="X100" s="40">
        <v>0</v>
      </c>
      <c r="Y100" s="67">
        <v>10.423172728054656</v>
      </c>
      <c r="Z100" s="40">
        <v>10.055865921787708</v>
      </c>
      <c r="AA100" s="40">
        <v>5.0034746351633075</v>
      </c>
      <c r="AB100" s="40">
        <v>7.9897919999999996</v>
      </c>
      <c r="AC100" s="40" t="s">
        <v>248</v>
      </c>
      <c r="AD100" s="67">
        <v>2.1989770000000002</v>
      </c>
      <c r="AE100" s="67">
        <v>8.118703308411197</v>
      </c>
      <c r="AF100" s="67">
        <v>8.6794136220000002</v>
      </c>
      <c r="AG100" s="140"/>
      <c r="AH100" s="138">
        <v>2</v>
      </c>
      <c r="AI100" s="138">
        <v>1.2326431314389206</v>
      </c>
      <c r="AJ100" s="138">
        <v>0.92404090000000005</v>
      </c>
    </row>
    <row r="101" spans="1:247" ht="9.9499999999999993" customHeight="1">
      <c r="A101" s="150">
        <v>2.5</v>
      </c>
      <c r="B101" s="205" t="s">
        <v>17</v>
      </c>
      <c r="C101" s="40">
        <v>7.5</v>
      </c>
      <c r="D101" s="40">
        <v>6.3450790000000001</v>
      </c>
      <c r="E101" s="67">
        <v>2.305196161115977</v>
      </c>
      <c r="F101" s="67">
        <v>4</v>
      </c>
      <c r="G101" s="40">
        <v>1.6658599957815678</v>
      </c>
      <c r="H101" s="67">
        <v>0</v>
      </c>
      <c r="I101" s="40">
        <v>3.0340039999999999</v>
      </c>
      <c r="J101" s="67" t="s">
        <v>248</v>
      </c>
      <c r="K101" s="40">
        <v>5.1910749999999997</v>
      </c>
      <c r="L101" s="67">
        <v>8.2201851542875279E-2</v>
      </c>
      <c r="M101" s="67">
        <v>0.39730940507752605</v>
      </c>
      <c r="N101" s="67">
        <v>6.867953</v>
      </c>
      <c r="O101" s="67">
        <v>2.1858587056037804</v>
      </c>
      <c r="P101" s="67">
        <v>1</v>
      </c>
      <c r="Q101" s="67">
        <v>1.1107282139451513</v>
      </c>
      <c r="R101" s="67">
        <v>0</v>
      </c>
      <c r="S101" s="67">
        <v>0</v>
      </c>
      <c r="T101" s="67">
        <v>3.2306070826306912</v>
      </c>
      <c r="U101" s="40">
        <v>1.918385</v>
      </c>
      <c r="V101" s="40">
        <v>4.9861645944909174</v>
      </c>
      <c r="W101" s="67">
        <v>6</v>
      </c>
      <c r="X101" s="40">
        <v>6.0178370000000001</v>
      </c>
      <c r="Y101" s="67">
        <v>0.49100624367507439</v>
      </c>
      <c r="Z101" s="40">
        <v>2.011173184357542</v>
      </c>
      <c r="AA101" s="40">
        <v>0</v>
      </c>
      <c r="AB101" s="40">
        <v>0.80522349999999998</v>
      </c>
      <c r="AC101" s="40" t="s">
        <v>248</v>
      </c>
      <c r="AD101" s="67">
        <v>2.9564270000000001</v>
      </c>
      <c r="AE101" s="67">
        <v>3</v>
      </c>
      <c r="AF101" s="67">
        <v>5.2102621080000002</v>
      </c>
      <c r="AG101" s="140"/>
      <c r="AH101" s="138">
        <v>1</v>
      </c>
      <c r="AI101" s="138">
        <v>0.16641100585494642</v>
      </c>
      <c r="AJ101" s="138">
        <v>1.581572</v>
      </c>
    </row>
    <row r="102" spans="1:247" ht="9.9499999999999993" customHeight="1">
      <c r="A102" s="150">
        <v>2.6</v>
      </c>
      <c r="B102" s="203" t="s">
        <v>18</v>
      </c>
      <c r="C102" s="40">
        <v>36</v>
      </c>
      <c r="D102" s="40">
        <v>12.626272638549301</v>
      </c>
      <c r="E102" s="67">
        <v>15.783638912768167</v>
      </c>
      <c r="F102" s="67">
        <v>11.982072608757921</v>
      </c>
      <c r="G102" s="40">
        <v>22.418077966302516</v>
      </c>
      <c r="H102" s="67">
        <v>24.858371052141933</v>
      </c>
      <c r="I102" s="40">
        <v>22.795339999999999</v>
      </c>
      <c r="J102" s="67">
        <v>6.9751636117799753</v>
      </c>
      <c r="K102" s="40">
        <v>23.67305</v>
      </c>
      <c r="L102" s="67">
        <v>14.462170697631503</v>
      </c>
      <c r="M102" s="67">
        <v>20.847383770229623</v>
      </c>
      <c r="N102" s="67">
        <v>19.604679999999998</v>
      </c>
      <c r="O102" s="67">
        <v>22.864462363882282</v>
      </c>
      <c r="P102" s="67" t="s">
        <v>46</v>
      </c>
      <c r="Q102" s="67">
        <v>18.210871999160208</v>
      </c>
      <c r="R102" s="67">
        <v>27.825953226348297</v>
      </c>
      <c r="S102" s="67">
        <v>21.928414001213387</v>
      </c>
      <c r="T102" s="67">
        <v>28.037164353353223</v>
      </c>
      <c r="U102" s="40">
        <v>12.688829999999999</v>
      </c>
      <c r="V102" s="40">
        <v>21.786122915062101</v>
      </c>
      <c r="W102" s="67">
        <v>34</v>
      </c>
      <c r="X102" s="40">
        <v>24.53463</v>
      </c>
      <c r="Y102" s="67">
        <v>21.110416413921303</v>
      </c>
      <c r="Z102" s="40">
        <v>17.430167597765362</v>
      </c>
      <c r="AA102" s="40">
        <v>19.013203613620568</v>
      </c>
      <c r="AB102" s="40">
        <v>24.20429</v>
      </c>
      <c r="AC102" s="40">
        <v>27.01876302988186</v>
      </c>
      <c r="AD102" s="67">
        <v>12.354990000000001</v>
      </c>
      <c r="AE102" s="67">
        <v>22.810763527989891</v>
      </c>
      <c r="AF102" s="67">
        <v>27.532331736</v>
      </c>
      <c r="AG102" s="140"/>
      <c r="AH102" s="138">
        <v>18</v>
      </c>
      <c r="AI102" s="138">
        <v>6.283225015714768</v>
      </c>
      <c r="AJ102" s="138">
        <v>10.22983</v>
      </c>
    </row>
    <row r="103" spans="1:247" ht="9.9499999999999993" customHeight="1">
      <c r="A103" s="150">
        <v>2.7</v>
      </c>
      <c r="B103" s="203" t="s">
        <v>19</v>
      </c>
      <c r="C103" s="40" t="s">
        <v>248</v>
      </c>
      <c r="D103" s="40">
        <v>1.9035402446315799</v>
      </c>
      <c r="E103" s="67" t="s">
        <v>248</v>
      </c>
      <c r="F103" s="67" t="s">
        <v>248</v>
      </c>
      <c r="G103" s="40" t="s">
        <v>248</v>
      </c>
      <c r="H103" s="67" t="s">
        <v>248</v>
      </c>
      <c r="I103" s="40">
        <v>9.8470279999999999</v>
      </c>
      <c r="J103" s="67">
        <v>0.7635131669664672</v>
      </c>
      <c r="K103" s="40">
        <v>4.3636500000000007</v>
      </c>
      <c r="L103" s="67" t="s">
        <v>248</v>
      </c>
      <c r="M103" s="67" t="s">
        <v>248</v>
      </c>
      <c r="N103" s="67" t="s">
        <v>248</v>
      </c>
      <c r="O103" s="67">
        <v>0.10185687703964658</v>
      </c>
      <c r="P103" s="48" t="s">
        <v>248</v>
      </c>
      <c r="Q103" s="67" t="s">
        <v>248</v>
      </c>
      <c r="R103" s="67" t="s">
        <v>248</v>
      </c>
      <c r="S103" s="67" t="s">
        <v>248</v>
      </c>
      <c r="T103" s="67" t="s">
        <v>248</v>
      </c>
      <c r="U103" s="40" t="s">
        <v>248</v>
      </c>
      <c r="V103" s="40">
        <v>0.66401325082297236</v>
      </c>
      <c r="W103" s="67" t="s">
        <v>248</v>
      </c>
      <c r="X103" s="40">
        <v>22.459019999999999</v>
      </c>
      <c r="Y103" s="67" t="s">
        <v>248</v>
      </c>
      <c r="Z103" s="40" t="s">
        <v>248</v>
      </c>
      <c r="AA103" s="40" t="s">
        <v>248</v>
      </c>
      <c r="AB103" s="40">
        <v>16.6724</v>
      </c>
      <c r="AC103" s="40">
        <v>8.005559416261292</v>
      </c>
      <c r="AD103" s="67">
        <v>5.5640260000000001</v>
      </c>
      <c r="AE103" s="67" t="s">
        <v>248</v>
      </c>
      <c r="AF103" s="67">
        <v>1.0483690139999999</v>
      </c>
      <c r="AG103" s="140"/>
      <c r="AH103" s="138" t="s">
        <v>248</v>
      </c>
      <c r="AI103" s="138" t="s">
        <v>248</v>
      </c>
      <c r="AJ103" s="138">
        <v>12.59755</v>
      </c>
    </row>
    <row r="104" spans="1:247" s="149" customFormat="1" ht="9.9499999999999993" customHeight="1">
      <c r="A104" s="145">
        <v>3</v>
      </c>
      <c r="B104" s="204" t="s">
        <v>20</v>
      </c>
      <c r="C104" s="198">
        <v>666</v>
      </c>
      <c r="D104" s="198">
        <v>678.03941999999995</v>
      </c>
      <c r="E104" s="189">
        <v>677.39721737857042</v>
      </c>
      <c r="F104" s="189">
        <v>652.76109666101092</v>
      </c>
      <c r="G104" s="198">
        <v>673.37854405155133</v>
      </c>
      <c r="H104" s="189">
        <v>663.34558812438661</v>
      </c>
      <c r="I104" s="198">
        <v>650.72680000000003</v>
      </c>
      <c r="J104" s="189">
        <v>760.88806673622412</v>
      </c>
      <c r="K104" s="198">
        <v>658.66205000000002</v>
      </c>
      <c r="L104" s="189">
        <v>679.23137045909152</v>
      </c>
      <c r="M104" s="189">
        <v>679.27181516422581</v>
      </c>
      <c r="N104" s="189">
        <v>623.13238999999999</v>
      </c>
      <c r="O104" s="189">
        <v>705.327315056609</v>
      </c>
      <c r="P104" s="189">
        <v>647</v>
      </c>
      <c r="Q104" s="189">
        <v>679.87680469376858</v>
      </c>
      <c r="R104" s="189">
        <v>643.69356534168719</v>
      </c>
      <c r="S104" s="189">
        <v>644.79766665686088</v>
      </c>
      <c r="T104" s="189">
        <v>694.01245297703986</v>
      </c>
      <c r="U104" s="198">
        <v>641.76292999999998</v>
      </c>
      <c r="V104" s="198">
        <v>696.6580496667965</v>
      </c>
      <c r="W104" s="189">
        <v>656</v>
      </c>
      <c r="X104" s="198">
        <v>641.81551999999999</v>
      </c>
      <c r="Y104" s="189">
        <v>666.81374948793905</v>
      </c>
      <c r="Z104" s="198">
        <v>673.74301675977654</v>
      </c>
      <c r="AA104" s="198">
        <v>630.43780403057679</v>
      </c>
      <c r="AB104" s="198">
        <v>686.55228</v>
      </c>
      <c r="AC104" s="198">
        <v>633.43988881167479</v>
      </c>
      <c r="AD104" s="189">
        <v>684.50614000000007</v>
      </c>
      <c r="AE104" s="189">
        <v>655.42715207255912</v>
      </c>
      <c r="AF104" s="189">
        <v>677.70198833999996</v>
      </c>
      <c r="AG104" s="140"/>
      <c r="AH104" s="147">
        <v>692</v>
      </c>
      <c r="AI104" s="147">
        <v>669.86036688275237</v>
      </c>
      <c r="AJ104" s="147">
        <v>694.82945999999993</v>
      </c>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c r="BT104" s="86"/>
      <c r="BU104" s="86"/>
      <c r="BV104" s="86"/>
      <c r="BW104" s="86"/>
      <c r="BX104" s="86"/>
      <c r="BY104" s="86"/>
      <c r="BZ104" s="86"/>
      <c r="CA104" s="86"/>
      <c r="CB104" s="86"/>
      <c r="CC104" s="86"/>
      <c r="CD104" s="86"/>
      <c r="CE104" s="86"/>
      <c r="CF104" s="86"/>
      <c r="CG104" s="86"/>
      <c r="CH104" s="86"/>
      <c r="CI104" s="86"/>
      <c r="CJ104" s="86"/>
      <c r="CK104" s="86"/>
      <c r="CL104" s="86"/>
      <c r="CM104" s="86"/>
      <c r="CN104" s="86"/>
      <c r="CO104" s="86"/>
      <c r="CP104" s="86"/>
      <c r="CQ104" s="86"/>
      <c r="CR104" s="86"/>
      <c r="CS104" s="86"/>
      <c r="CT104" s="86"/>
      <c r="CU104" s="86"/>
      <c r="CV104" s="86"/>
      <c r="CW104" s="86"/>
      <c r="CX104" s="86"/>
      <c r="CY104" s="86"/>
      <c r="CZ104" s="86"/>
      <c r="DA104" s="86"/>
      <c r="DB104" s="86"/>
      <c r="DC104" s="86"/>
      <c r="DD104" s="86"/>
      <c r="DE104" s="86"/>
      <c r="DF104" s="86"/>
      <c r="DG104" s="86"/>
      <c r="DH104" s="86"/>
      <c r="DI104" s="86"/>
      <c r="DJ104" s="86"/>
      <c r="DK104" s="86"/>
      <c r="DL104" s="86"/>
      <c r="DM104" s="86"/>
      <c r="DN104" s="86"/>
      <c r="DO104" s="86"/>
      <c r="DP104" s="86"/>
      <c r="DQ104" s="86"/>
      <c r="DR104" s="86"/>
      <c r="DS104" s="86"/>
      <c r="DT104" s="86"/>
      <c r="DU104" s="86"/>
      <c r="DV104" s="86"/>
      <c r="DW104" s="86"/>
      <c r="DX104" s="86"/>
      <c r="DY104" s="86"/>
      <c r="DZ104" s="86"/>
      <c r="EA104" s="86"/>
      <c r="EB104" s="86"/>
      <c r="EC104" s="86"/>
      <c r="ED104" s="86"/>
      <c r="EE104" s="86"/>
      <c r="EF104" s="86"/>
      <c r="EG104" s="86"/>
      <c r="EH104" s="86"/>
      <c r="EI104" s="86"/>
      <c r="EJ104" s="86"/>
      <c r="EK104" s="86"/>
      <c r="EL104" s="86"/>
      <c r="EM104" s="86"/>
      <c r="EN104" s="86"/>
      <c r="EO104" s="86"/>
      <c r="EP104" s="86"/>
      <c r="EQ104" s="86"/>
      <c r="ER104" s="86"/>
      <c r="ES104" s="86"/>
      <c r="ET104" s="86"/>
      <c r="EU104" s="86"/>
      <c r="EV104" s="86"/>
      <c r="EW104" s="86"/>
      <c r="EX104" s="86"/>
      <c r="EY104" s="86"/>
      <c r="EZ104" s="86"/>
      <c r="FA104" s="86"/>
      <c r="FB104" s="86"/>
      <c r="FC104" s="86"/>
      <c r="FD104" s="86"/>
      <c r="FE104" s="86"/>
      <c r="FF104" s="86"/>
      <c r="FG104" s="86"/>
      <c r="FH104" s="86"/>
      <c r="FI104" s="86"/>
      <c r="FJ104" s="86"/>
      <c r="FK104" s="86"/>
      <c r="FL104" s="86"/>
      <c r="FM104" s="86"/>
      <c r="FN104" s="86"/>
      <c r="FO104" s="86"/>
      <c r="FP104" s="86"/>
      <c r="FQ104" s="86"/>
      <c r="FR104" s="86"/>
      <c r="FS104" s="86"/>
      <c r="FT104" s="86"/>
      <c r="FU104" s="86"/>
      <c r="FV104" s="86"/>
      <c r="FW104" s="86"/>
      <c r="FX104" s="86"/>
      <c r="FY104" s="86"/>
      <c r="FZ104" s="86"/>
      <c r="GA104" s="86"/>
      <c r="GB104" s="86"/>
      <c r="GC104" s="86"/>
      <c r="GD104" s="86"/>
      <c r="GE104" s="86"/>
      <c r="GF104" s="86"/>
      <c r="GG104" s="86"/>
      <c r="GH104" s="86"/>
      <c r="GI104" s="86"/>
      <c r="GJ104" s="86"/>
      <c r="GK104" s="86"/>
      <c r="GL104" s="86"/>
      <c r="GM104" s="86"/>
      <c r="GN104" s="86"/>
      <c r="GO104" s="86"/>
      <c r="GP104" s="86"/>
      <c r="GQ104" s="86"/>
      <c r="GR104" s="86"/>
      <c r="GS104" s="86"/>
      <c r="GT104" s="86"/>
      <c r="GU104" s="86"/>
      <c r="GV104" s="86"/>
      <c r="GW104" s="86"/>
      <c r="GX104" s="86"/>
      <c r="GY104" s="86"/>
      <c r="GZ104" s="86"/>
      <c r="HA104" s="86"/>
      <c r="HB104" s="86"/>
      <c r="HC104" s="86"/>
      <c r="HD104" s="86"/>
      <c r="HE104" s="86"/>
      <c r="HF104" s="86"/>
      <c r="HG104" s="86"/>
      <c r="HH104" s="86"/>
      <c r="HI104" s="86"/>
      <c r="HJ104" s="86"/>
      <c r="HK104" s="86"/>
      <c r="HL104" s="86"/>
      <c r="HM104" s="86"/>
      <c r="HN104" s="86"/>
      <c r="HO104" s="86"/>
      <c r="HP104" s="86"/>
      <c r="HQ104" s="86"/>
      <c r="HR104" s="86"/>
      <c r="HS104" s="86"/>
      <c r="HT104" s="86"/>
      <c r="HU104" s="86"/>
      <c r="HV104" s="86"/>
      <c r="HW104" s="86"/>
      <c r="HX104" s="86"/>
      <c r="HY104" s="86"/>
      <c r="HZ104" s="86"/>
      <c r="IA104" s="86"/>
      <c r="IB104" s="86"/>
      <c r="IC104" s="86"/>
      <c r="ID104" s="86"/>
      <c r="IE104" s="86"/>
      <c r="IF104" s="86"/>
      <c r="IG104" s="86"/>
      <c r="IH104" s="86"/>
      <c r="II104" s="86"/>
      <c r="IJ104" s="86"/>
      <c r="IK104" s="86"/>
      <c r="IL104" s="86"/>
      <c r="IM104" s="86"/>
    </row>
    <row r="105" spans="1:247" ht="9.9499999999999993" customHeight="1">
      <c r="A105" s="150">
        <v>3.1</v>
      </c>
      <c r="B105" s="202" t="s">
        <v>21</v>
      </c>
      <c r="C105" s="40">
        <v>514</v>
      </c>
      <c r="D105" s="40">
        <v>518.39694139683604</v>
      </c>
      <c r="E105" s="67">
        <v>519.24742497010186</v>
      </c>
      <c r="F105" s="67">
        <v>526.71955649326742</v>
      </c>
      <c r="G105" s="40">
        <v>496.52949144005203</v>
      </c>
      <c r="H105" s="67">
        <v>527.83766378534449</v>
      </c>
      <c r="I105" s="40">
        <v>511.53750000000002</v>
      </c>
      <c r="J105" s="67">
        <v>516.46614529838473</v>
      </c>
      <c r="K105" s="40">
        <v>502.90949999999998</v>
      </c>
      <c r="L105" s="67">
        <v>498.00384402140764</v>
      </c>
      <c r="M105" s="67">
        <v>508.45127871475154</v>
      </c>
      <c r="N105" s="67">
        <v>500.65100000000001</v>
      </c>
      <c r="O105" s="67">
        <v>512.35072045708375</v>
      </c>
      <c r="P105" s="67">
        <v>457</v>
      </c>
      <c r="Q105" s="67">
        <v>471.22712654605806</v>
      </c>
      <c r="R105" s="67">
        <v>515.45215309058938</v>
      </c>
      <c r="S105" s="67">
        <v>504.0151128732935</v>
      </c>
      <c r="T105" s="67">
        <v>520.19204825528607</v>
      </c>
      <c r="U105" s="40">
        <v>500.35789999999997</v>
      </c>
      <c r="V105" s="40">
        <v>509.35365126189106</v>
      </c>
      <c r="W105" s="67">
        <v>529</v>
      </c>
      <c r="X105" s="40">
        <v>501.1259</v>
      </c>
      <c r="Y105" s="67">
        <v>513.5188901202232</v>
      </c>
      <c r="Z105" s="40">
        <v>507.82122905027938</v>
      </c>
      <c r="AA105" s="40">
        <v>504.35024322446139</v>
      </c>
      <c r="AB105" s="40">
        <v>511.10039999999998</v>
      </c>
      <c r="AC105" s="40">
        <v>483.33564975677552</v>
      </c>
      <c r="AD105" s="67">
        <v>518.01980000000003</v>
      </c>
      <c r="AE105" s="67">
        <v>511.74504166764785</v>
      </c>
      <c r="AF105" s="67">
        <v>546.79507021799998</v>
      </c>
      <c r="AG105" s="140"/>
      <c r="AH105" s="138">
        <v>544</v>
      </c>
      <c r="AI105" s="138">
        <v>520.91666886575854</v>
      </c>
      <c r="AJ105" s="138">
        <v>556.59889999999996</v>
      </c>
    </row>
    <row r="106" spans="1:247" ht="9.9499999999999993" customHeight="1">
      <c r="A106" s="150">
        <v>3.2</v>
      </c>
      <c r="B106" s="203" t="s">
        <v>22</v>
      </c>
      <c r="C106" s="40">
        <v>91</v>
      </c>
      <c r="D106" s="40">
        <v>96.887108566327697</v>
      </c>
      <c r="E106" s="67">
        <v>101.28596458876265</v>
      </c>
      <c r="F106" s="67">
        <v>64.584258734802503</v>
      </c>
      <c r="G106" s="40">
        <v>120.26470620876209</v>
      </c>
      <c r="H106" s="67">
        <v>76.847403021474804</v>
      </c>
      <c r="I106" s="40">
        <v>81.036709999999999</v>
      </c>
      <c r="J106" s="67">
        <v>131.31381151731554</v>
      </c>
      <c r="K106" s="40">
        <v>96.549516666666662</v>
      </c>
      <c r="L106" s="67">
        <v>121.51797256245685</v>
      </c>
      <c r="M106" s="67">
        <v>96.935229545210646</v>
      </c>
      <c r="N106" s="67">
        <v>74.676439999999999</v>
      </c>
      <c r="O106" s="67">
        <v>124.99706527923414</v>
      </c>
      <c r="P106" s="67">
        <v>93</v>
      </c>
      <c r="Q106" s="67">
        <v>114.76459054704344</v>
      </c>
      <c r="R106" s="67">
        <v>84.887406581411838</v>
      </c>
      <c r="S106" s="67">
        <v>85.085569299893564</v>
      </c>
      <c r="T106" s="67">
        <v>113.40877545725776</v>
      </c>
      <c r="U106" s="40">
        <v>78.183850000000007</v>
      </c>
      <c r="V106" s="40">
        <v>116.55606590916524</v>
      </c>
      <c r="W106" s="67">
        <v>80</v>
      </c>
      <c r="X106" s="40">
        <v>77.485560000000007</v>
      </c>
      <c r="Y106" s="67">
        <v>91.60702101743685</v>
      </c>
      <c r="Z106" s="40">
        <v>107.59776536312849</v>
      </c>
      <c r="AA106" s="40">
        <v>83.057678943710911</v>
      </c>
      <c r="AB106" s="40">
        <v>122.5522</v>
      </c>
      <c r="AC106" s="40">
        <v>85.059068797776234</v>
      </c>
      <c r="AD106" s="67">
        <v>119.53570000000001</v>
      </c>
      <c r="AE106" s="67">
        <v>78.49849104723917</v>
      </c>
      <c r="AF106" s="67">
        <v>66.647061125999997</v>
      </c>
      <c r="AG106" s="140"/>
      <c r="AH106" s="138">
        <v>96</v>
      </c>
      <c r="AI106" s="138">
        <v>79.950084074333091</v>
      </c>
      <c r="AJ106" s="138">
        <v>68.920749999999998</v>
      </c>
    </row>
    <row r="107" spans="1:247" ht="9.9499999999999993" customHeight="1">
      <c r="A107" s="150">
        <v>3.3</v>
      </c>
      <c r="B107" s="203" t="s">
        <v>23</v>
      </c>
      <c r="C107" s="40">
        <v>61</v>
      </c>
      <c r="D107" s="40">
        <v>62.755371332494398</v>
      </c>
      <c r="E107" s="67">
        <v>56.863827819705868</v>
      </c>
      <c r="F107" s="67">
        <v>61.457281432940889</v>
      </c>
      <c r="G107" s="40">
        <v>56.584346402737218</v>
      </c>
      <c r="H107" s="67">
        <v>58.660521317567301</v>
      </c>
      <c r="I107" s="40">
        <v>58.152589999999996</v>
      </c>
      <c r="J107" s="67">
        <v>113.10810992052379</v>
      </c>
      <c r="K107" s="40">
        <v>59.20303333333333</v>
      </c>
      <c r="L107" s="67">
        <v>59.709553875227037</v>
      </c>
      <c r="M107" s="67">
        <v>73.88530690426353</v>
      </c>
      <c r="N107" s="67">
        <v>47.804949999999998</v>
      </c>
      <c r="O107" s="67">
        <v>67.979529320291135</v>
      </c>
      <c r="P107" s="67">
        <v>97</v>
      </c>
      <c r="Q107" s="67">
        <v>93.885087600667177</v>
      </c>
      <c r="R107" s="67">
        <v>43.354005669686018</v>
      </c>
      <c r="S107" s="67">
        <v>55.696984483673731</v>
      </c>
      <c r="T107" s="67">
        <v>60.411629264496042</v>
      </c>
      <c r="U107" s="40">
        <v>63.221179999999997</v>
      </c>
      <c r="V107" s="40">
        <v>70.748332495740172</v>
      </c>
      <c r="W107" s="67">
        <v>47</v>
      </c>
      <c r="X107" s="40">
        <v>63.204059999999998</v>
      </c>
      <c r="Y107" s="67">
        <v>61.687838350278938</v>
      </c>
      <c r="Z107" s="40">
        <v>58.324022346368714</v>
      </c>
      <c r="AA107" s="40">
        <v>43.029881862404444</v>
      </c>
      <c r="AB107" s="40">
        <v>52.899679999999996</v>
      </c>
      <c r="AC107" s="40">
        <v>65.045170257123004</v>
      </c>
      <c r="AD107" s="67">
        <v>46.95064</v>
      </c>
      <c r="AE107" s="67">
        <v>65.1836193576721</v>
      </c>
      <c r="AF107" s="67">
        <v>64.259857013999991</v>
      </c>
      <c r="AG107" s="140"/>
      <c r="AH107" s="138">
        <v>51.999999999999993</v>
      </c>
      <c r="AI107" s="138">
        <v>68.993613942660716</v>
      </c>
      <c r="AJ107" s="138">
        <v>69.309809999999999</v>
      </c>
    </row>
    <row r="108" spans="1:247" s="149" customFormat="1" ht="9.9499999999999993" customHeight="1">
      <c r="A108" s="145">
        <v>4</v>
      </c>
      <c r="B108" s="204" t="s">
        <v>24</v>
      </c>
      <c r="C108" s="198">
        <v>269</v>
      </c>
      <c r="D108" s="198">
        <v>291.65012000000002</v>
      </c>
      <c r="E108" s="189">
        <v>316.70665242045487</v>
      </c>
      <c r="F108" s="189">
        <v>259.66452857907461</v>
      </c>
      <c r="G108" s="198">
        <v>319.61254445197494</v>
      </c>
      <c r="H108" s="189">
        <v>277.80949435540822</v>
      </c>
      <c r="I108" s="198">
        <v>303.60413599999998</v>
      </c>
      <c r="J108" s="189">
        <v>269.74337965874224</v>
      </c>
      <c r="K108" s="198">
        <v>315.76833166666671</v>
      </c>
      <c r="L108" s="189">
        <v>310.60395229526705</v>
      </c>
      <c r="M108" s="189">
        <v>256.84115687738944</v>
      </c>
      <c r="N108" s="189">
        <v>286.98392000000001</v>
      </c>
      <c r="O108" s="189">
        <v>280.92225367741901</v>
      </c>
      <c r="P108" s="189">
        <v>254</v>
      </c>
      <c r="Q108" s="189">
        <v>243.97131854353154</v>
      </c>
      <c r="R108" s="189">
        <v>249.248179830482</v>
      </c>
      <c r="S108" s="189">
        <v>215.29885787094165</v>
      </c>
      <c r="T108" s="189">
        <v>253.02321961343881</v>
      </c>
      <c r="U108" s="198">
        <v>159.11085199999999</v>
      </c>
      <c r="V108" s="198">
        <v>300.22304575042892</v>
      </c>
      <c r="W108" s="189">
        <v>295</v>
      </c>
      <c r="X108" s="198">
        <v>365.84819900000002</v>
      </c>
      <c r="Y108" s="189">
        <v>262.41089071719762</v>
      </c>
      <c r="Z108" s="198">
        <v>199.77653631284915</v>
      </c>
      <c r="AA108" s="198">
        <v>283.19666435024322</v>
      </c>
      <c r="AB108" s="198">
        <v>283.995586</v>
      </c>
      <c r="AC108" s="198">
        <v>306.21264767199443</v>
      </c>
      <c r="AD108" s="189">
        <v>270.44737600000002</v>
      </c>
      <c r="AE108" s="189">
        <v>284.67795888641001</v>
      </c>
      <c r="AF108" s="189">
        <v>256.935649146</v>
      </c>
      <c r="AG108" s="140"/>
      <c r="AH108" s="147">
        <v>211</v>
      </c>
      <c r="AI108" s="147">
        <v>220.94849366325897</v>
      </c>
      <c r="AJ108" s="147">
        <v>281.84986400000003</v>
      </c>
      <c r="AK108" s="86"/>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c r="BL108" s="86"/>
      <c r="BM108" s="86"/>
      <c r="BN108" s="86"/>
      <c r="BO108" s="86"/>
      <c r="BP108" s="86"/>
      <c r="BQ108" s="86"/>
      <c r="BR108" s="86"/>
      <c r="BS108" s="86"/>
      <c r="BT108" s="86"/>
      <c r="BU108" s="86"/>
      <c r="BV108" s="86"/>
      <c r="BW108" s="86"/>
      <c r="BX108" s="86"/>
      <c r="BY108" s="86"/>
      <c r="BZ108" s="86"/>
      <c r="CA108" s="86"/>
      <c r="CB108" s="86"/>
      <c r="CC108" s="86"/>
      <c r="CD108" s="86"/>
      <c r="CE108" s="86"/>
      <c r="CF108" s="86"/>
      <c r="CG108" s="86"/>
      <c r="CH108" s="86"/>
      <c r="CI108" s="86"/>
      <c r="CJ108" s="86"/>
      <c r="CK108" s="86"/>
      <c r="CL108" s="86"/>
      <c r="CM108" s="86"/>
      <c r="CN108" s="86"/>
      <c r="CO108" s="86"/>
      <c r="CP108" s="86"/>
      <c r="CQ108" s="86"/>
      <c r="CR108" s="86"/>
      <c r="CS108" s="86"/>
      <c r="CT108" s="86"/>
      <c r="CU108" s="86"/>
      <c r="CV108" s="86"/>
      <c r="CW108" s="86"/>
      <c r="CX108" s="86"/>
      <c r="CY108" s="86"/>
      <c r="CZ108" s="86"/>
      <c r="DA108" s="86"/>
      <c r="DB108" s="86"/>
      <c r="DC108" s="86"/>
      <c r="DD108" s="86"/>
      <c r="DE108" s="86"/>
      <c r="DF108" s="86"/>
      <c r="DG108" s="86"/>
      <c r="DH108" s="86"/>
      <c r="DI108" s="86"/>
      <c r="DJ108" s="86"/>
      <c r="DK108" s="86"/>
      <c r="DL108" s="86"/>
      <c r="DM108" s="86"/>
      <c r="DN108" s="86"/>
      <c r="DO108" s="86"/>
      <c r="DP108" s="86"/>
      <c r="DQ108" s="86"/>
      <c r="DR108" s="86"/>
      <c r="DS108" s="86"/>
      <c r="DT108" s="86"/>
      <c r="DU108" s="86"/>
      <c r="DV108" s="86"/>
      <c r="DW108" s="86"/>
      <c r="DX108" s="86"/>
      <c r="DY108" s="86"/>
      <c r="DZ108" s="86"/>
      <c r="EA108" s="86"/>
      <c r="EB108" s="86"/>
      <c r="EC108" s="86"/>
      <c r="ED108" s="86"/>
      <c r="EE108" s="86"/>
      <c r="EF108" s="86"/>
      <c r="EG108" s="86"/>
      <c r="EH108" s="86"/>
      <c r="EI108" s="86"/>
      <c r="EJ108" s="86"/>
      <c r="EK108" s="86"/>
      <c r="EL108" s="86"/>
      <c r="EM108" s="86"/>
      <c r="EN108" s="86"/>
      <c r="EO108" s="86"/>
      <c r="EP108" s="86"/>
      <c r="EQ108" s="86"/>
      <c r="ER108" s="86"/>
      <c r="ES108" s="86"/>
      <c r="ET108" s="86"/>
      <c r="EU108" s="86"/>
      <c r="EV108" s="86"/>
      <c r="EW108" s="86"/>
      <c r="EX108" s="86"/>
      <c r="EY108" s="86"/>
      <c r="EZ108" s="86"/>
      <c r="FA108" s="86"/>
      <c r="FB108" s="86"/>
      <c r="FC108" s="86"/>
      <c r="FD108" s="86"/>
      <c r="FE108" s="86"/>
      <c r="FF108" s="86"/>
      <c r="FG108" s="86"/>
      <c r="FH108" s="86"/>
      <c r="FI108" s="86"/>
      <c r="FJ108" s="86"/>
      <c r="FK108" s="86"/>
      <c r="FL108" s="86"/>
      <c r="FM108" s="86"/>
      <c r="FN108" s="86"/>
      <c r="FO108" s="86"/>
      <c r="FP108" s="86"/>
      <c r="FQ108" s="86"/>
      <c r="FR108" s="86"/>
      <c r="FS108" s="86"/>
      <c r="FT108" s="86"/>
      <c r="FU108" s="86"/>
      <c r="FV108" s="86"/>
      <c r="FW108" s="86"/>
      <c r="FX108" s="86"/>
      <c r="FY108" s="86"/>
      <c r="FZ108" s="86"/>
      <c r="GA108" s="86"/>
      <c r="GB108" s="86"/>
      <c r="GC108" s="86"/>
      <c r="GD108" s="86"/>
      <c r="GE108" s="86"/>
      <c r="GF108" s="86"/>
      <c r="GG108" s="86"/>
      <c r="GH108" s="86"/>
      <c r="GI108" s="86"/>
      <c r="GJ108" s="86"/>
      <c r="GK108" s="86"/>
      <c r="GL108" s="86"/>
      <c r="GM108" s="86"/>
      <c r="GN108" s="86"/>
      <c r="GO108" s="86"/>
      <c r="GP108" s="86"/>
      <c r="GQ108" s="86"/>
      <c r="GR108" s="86"/>
      <c r="GS108" s="86"/>
      <c r="GT108" s="86"/>
      <c r="GU108" s="86"/>
      <c r="GV108" s="86"/>
      <c r="GW108" s="86"/>
      <c r="GX108" s="86"/>
      <c r="GY108" s="86"/>
      <c r="GZ108" s="86"/>
      <c r="HA108" s="86"/>
      <c r="HB108" s="86"/>
      <c r="HC108" s="86"/>
      <c r="HD108" s="86"/>
      <c r="HE108" s="86"/>
      <c r="HF108" s="86"/>
      <c r="HG108" s="86"/>
      <c r="HH108" s="86"/>
      <c r="HI108" s="86"/>
      <c r="HJ108" s="86"/>
      <c r="HK108" s="86"/>
      <c r="HL108" s="86"/>
      <c r="HM108" s="86"/>
      <c r="HN108" s="86"/>
      <c r="HO108" s="86"/>
      <c r="HP108" s="86"/>
      <c r="HQ108" s="86"/>
      <c r="HR108" s="86"/>
      <c r="HS108" s="86"/>
      <c r="HT108" s="86"/>
      <c r="HU108" s="86"/>
      <c r="HV108" s="86"/>
      <c r="HW108" s="86"/>
      <c r="HX108" s="86"/>
      <c r="HY108" s="86"/>
      <c r="HZ108" s="86"/>
      <c r="IA108" s="86"/>
      <c r="IB108" s="86"/>
      <c r="IC108" s="86"/>
      <c r="ID108" s="86"/>
      <c r="IE108" s="86"/>
      <c r="IF108" s="86"/>
      <c r="IG108" s="86"/>
      <c r="IH108" s="86"/>
      <c r="II108" s="86"/>
      <c r="IJ108" s="86"/>
      <c r="IK108" s="86"/>
      <c r="IL108" s="86"/>
      <c r="IM108" s="86"/>
    </row>
    <row r="109" spans="1:247" ht="9.9499999999999993" customHeight="1">
      <c r="A109" s="150">
        <v>4.0999999999999996</v>
      </c>
      <c r="B109" s="205" t="s">
        <v>25</v>
      </c>
      <c r="C109" s="40">
        <v>16</v>
      </c>
      <c r="D109" s="40">
        <v>35.7168884530467</v>
      </c>
      <c r="E109" s="67">
        <v>16.012503220312784</v>
      </c>
      <c r="F109" s="67">
        <v>16.523755454586826</v>
      </c>
      <c r="G109" s="40">
        <v>19.935430509102254</v>
      </c>
      <c r="H109" s="67">
        <v>22.720845329953427</v>
      </c>
      <c r="I109" s="40">
        <v>35.353200000000001</v>
      </c>
      <c r="J109" s="67">
        <v>7.2194666332073858</v>
      </c>
      <c r="K109" s="40">
        <v>24.520500000000002</v>
      </c>
      <c r="L109" s="67">
        <v>22.597657550305293</v>
      </c>
      <c r="M109" s="67">
        <v>9.8618484178113732</v>
      </c>
      <c r="N109" s="67">
        <v>17.276789999999998</v>
      </c>
      <c r="O109" s="67">
        <v>32.730560759865092</v>
      </c>
      <c r="P109" s="67">
        <v>7</v>
      </c>
      <c r="Q109" s="67">
        <v>22.96223193495258</v>
      </c>
      <c r="R109" s="67">
        <v>20.429071499167261</v>
      </c>
      <c r="S109" s="67">
        <v>12.718760892894629</v>
      </c>
      <c r="T109" s="67">
        <v>28.077766247243488</v>
      </c>
      <c r="U109" s="40">
        <v>9.6667729999999992</v>
      </c>
      <c r="V109" s="40">
        <v>20.276910797814921</v>
      </c>
      <c r="W109" s="67">
        <v>15</v>
      </c>
      <c r="X109" s="40">
        <v>20.824909999999999</v>
      </c>
      <c r="Y109" s="67">
        <v>21.102630159918338</v>
      </c>
      <c r="Z109" s="40">
        <v>6.033519553072626</v>
      </c>
      <c r="AA109" s="40">
        <v>28.019457956914525</v>
      </c>
      <c r="AB109" s="40">
        <v>36.910620000000002</v>
      </c>
      <c r="AC109" s="40">
        <v>33.022932592077829</v>
      </c>
      <c r="AD109" s="67">
        <v>5.4757540000000002</v>
      </c>
      <c r="AE109" s="67">
        <v>15.505492197926721</v>
      </c>
      <c r="AF109" s="67">
        <v>15.541091603999998</v>
      </c>
      <c r="AG109" s="140"/>
      <c r="AH109" s="138">
        <v>22</v>
      </c>
      <c r="AI109" s="138">
        <v>1.382403540189286</v>
      </c>
      <c r="AJ109" s="138">
        <v>1.6328819999999999</v>
      </c>
    </row>
    <row r="110" spans="1:247" ht="9.9499999999999993" customHeight="1">
      <c r="A110" s="150">
        <v>4.2</v>
      </c>
      <c r="B110" s="203" t="s">
        <v>26</v>
      </c>
      <c r="C110" s="40">
        <v>6</v>
      </c>
      <c r="D110" s="40">
        <v>9.9929800494140206</v>
      </c>
      <c r="E110" s="67">
        <v>13.242913006809435</v>
      </c>
      <c r="F110" s="67">
        <v>5.6997505518543949</v>
      </c>
      <c r="G110" s="40">
        <v>7.8288943923415024</v>
      </c>
      <c r="H110" s="67">
        <v>8.2835845715449512</v>
      </c>
      <c r="I110" s="40">
        <v>8.3775259999999996</v>
      </c>
      <c r="J110" s="67">
        <v>13.830911213086168</v>
      </c>
      <c r="K110" s="40">
        <v>13.994531666666667</v>
      </c>
      <c r="L110" s="67">
        <v>5.7186754987796737</v>
      </c>
      <c r="M110" s="67">
        <v>5.8457465667229069</v>
      </c>
      <c r="N110" s="67">
        <v>33.737470000000002</v>
      </c>
      <c r="O110" s="67">
        <v>5.1456461731738905</v>
      </c>
      <c r="P110" s="67" t="s">
        <v>248</v>
      </c>
      <c r="Q110" s="67">
        <v>5.0041318882577466</v>
      </c>
      <c r="R110" s="67">
        <v>4.4726838122604198</v>
      </c>
      <c r="S110" s="67">
        <v>1.731767625451196</v>
      </c>
      <c r="T110" s="67">
        <v>12.568394084835905</v>
      </c>
      <c r="U110" s="40">
        <v>6.330419</v>
      </c>
      <c r="V110" s="40">
        <v>7.0248530484921821</v>
      </c>
      <c r="W110" s="67">
        <v>7</v>
      </c>
      <c r="X110" s="40">
        <v>8.5761690000000002</v>
      </c>
      <c r="Y110" s="67">
        <v>2.7968603982255322</v>
      </c>
      <c r="Z110" s="40">
        <v>9.050279329608939</v>
      </c>
      <c r="AA110" s="40">
        <v>4.002779708130646</v>
      </c>
      <c r="AB110" s="40">
        <v>8.4045459999999999</v>
      </c>
      <c r="AC110" s="40">
        <v>8.005559416261292</v>
      </c>
      <c r="AD110" s="67">
        <v>2.2064219999999999</v>
      </c>
      <c r="AE110" s="67">
        <v>7.6630509596293033</v>
      </c>
      <c r="AF110" s="67">
        <v>6.0279248700000005</v>
      </c>
      <c r="AG110" s="140"/>
      <c r="AH110" s="138">
        <v>2</v>
      </c>
      <c r="AI110" s="138">
        <v>3.3635429294838408</v>
      </c>
      <c r="AJ110" s="138">
        <v>4.5872419999999998</v>
      </c>
    </row>
    <row r="111" spans="1:247" ht="9.9499999999999993" customHeight="1">
      <c r="A111" s="150">
        <v>4.3</v>
      </c>
      <c r="B111" s="202" t="s">
        <v>27</v>
      </c>
      <c r="C111" s="40">
        <v>46</v>
      </c>
      <c r="D111" s="40">
        <v>31.460238769817099</v>
      </c>
      <c r="E111" s="67">
        <v>53.989413238671943</v>
      </c>
      <c r="F111" s="67">
        <v>53.938675939768515</v>
      </c>
      <c r="G111" s="40">
        <v>87.451167879874333</v>
      </c>
      <c r="H111" s="67">
        <v>39.715519617481029</v>
      </c>
      <c r="I111" s="40">
        <v>59.555340000000001</v>
      </c>
      <c r="J111" s="67">
        <v>58.05845509221033</v>
      </c>
      <c r="K111" s="40">
        <v>63.219650000000001</v>
      </c>
      <c r="L111" s="67">
        <v>54.738074156978584</v>
      </c>
      <c r="M111" s="67">
        <v>33.857902436343338</v>
      </c>
      <c r="N111" s="67">
        <v>54.817540000000001</v>
      </c>
      <c r="O111" s="67">
        <v>57.822766851625943</v>
      </c>
      <c r="P111" s="67">
        <v>12</v>
      </c>
      <c r="Q111" s="67">
        <v>46.344236117724662</v>
      </c>
      <c r="R111" s="67">
        <v>35.18567963548</v>
      </c>
      <c r="S111" s="67">
        <v>31.565779520381497</v>
      </c>
      <c r="T111" s="67">
        <v>33.902743546504084</v>
      </c>
      <c r="U111" s="40">
        <v>47.630879999999998</v>
      </c>
      <c r="V111" s="40">
        <v>77.113209488493254</v>
      </c>
      <c r="W111" s="67">
        <v>77</v>
      </c>
      <c r="X111" s="40">
        <v>68.73312</v>
      </c>
      <c r="Y111" s="67">
        <v>44.992931828728175</v>
      </c>
      <c r="Z111" s="40">
        <v>35.195530726256983</v>
      </c>
      <c r="AA111" s="40">
        <v>61.042390548992351</v>
      </c>
      <c r="AB111" s="40">
        <v>48.576279999999997</v>
      </c>
      <c r="AC111" s="40">
        <v>56.038915913829051</v>
      </c>
      <c r="AD111" s="67">
        <v>72.276910000000001</v>
      </c>
      <c r="AE111" s="67">
        <v>52.682351806029516</v>
      </c>
      <c r="AF111" s="67">
        <v>36.509126375999998</v>
      </c>
      <c r="AG111" s="140"/>
      <c r="AH111" s="138">
        <v>24</v>
      </c>
      <c r="AI111" s="138">
        <v>63.786493900199432</v>
      </c>
      <c r="AJ111" s="138">
        <v>74.082300000000004</v>
      </c>
    </row>
    <row r="112" spans="1:247" ht="9.9499999999999993" customHeight="1">
      <c r="A112" s="150">
        <v>4.4000000000000004</v>
      </c>
      <c r="B112" s="202" t="s">
        <v>28</v>
      </c>
      <c r="C112" s="40">
        <v>122.99999999999999</v>
      </c>
      <c r="D112" s="40">
        <v>106.914646823616</v>
      </c>
      <c r="E112" s="67">
        <v>122.00778922476562</v>
      </c>
      <c r="F112" s="67">
        <v>100.21170651389396</v>
      </c>
      <c r="G112" s="40">
        <v>114.7537879426215</v>
      </c>
      <c r="H112" s="67">
        <v>107.01054392338077</v>
      </c>
      <c r="I112" s="40">
        <v>100.8372</v>
      </c>
      <c r="J112" s="67">
        <v>103.57450908434755</v>
      </c>
      <c r="K112" s="40">
        <v>111.03533333333333</v>
      </c>
      <c r="L112" s="67">
        <v>125.5826867431479</v>
      </c>
      <c r="M112" s="67">
        <v>122.736300207916</v>
      </c>
      <c r="N112" s="67">
        <v>75.779719999999998</v>
      </c>
      <c r="O112" s="67">
        <v>90.276009796563685</v>
      </c>
      <c r="P112" s="67">
        <v>80</v>
      </c>
      <c r="Q112" s="67">
        <v>102.75396680009787</v>
      </c>
      <c r="R112" s="67">
        <v>108.37383838177544</v>
      </c>
      <c r="S112" s="67">
        <v>115.07417230573149</v>
      </c>
      <c r="T112" s="67">
        <v>108.23732001556621</v>
      </c>
      <c r="U112" s="40">
        <v>58.314259999999997</v>
      </c>
      <c r="V112" s="40">
        <v>100.36138110687193</v>
      </c>
      <c r="W112" s="67">
        <v>118</v>
      </c>
      <c r="X112" s="40">
        <v>115.6138</v>
      </c>
      <c r="Y112" s="67">
        <v>109.14578044622642</v>
      </c>
      <c r="Z112" s="40">
        <v>103.07262569832402</v>
      </c>
      <c r="AA112" s="40">
        <v>106.07366226546213</v>
      </c>
      <c r="AB112" s="40">
        <v>118.14190000000001</v>
      </c>
      <c r="AC112" s="40">
        <v>104.0722724113968</v>
      </c>
      <c r="AD112" s="67">
        <v>121.9074</v>
      </c>
      <c r="AE112" s="67">
        <v>121.84243699019314</v>
      </c>
      <c r="AF112" s="67">
        <v>127.154002482</v>
      </c>
      <c r="AG112" s="140"/>
      <c r="AH112" s="138">
        <v>122</v>
      </c>
      <c r="AI112" s="138">
        <v>54.408020280092366</v>
      </c>
      <c r="AJ112" s="138">
        <v>125.4392</v>
      </c>
    </row>
    <row r="113" spans="1:247" ht="9.9499999999999993" customHeight="1">
      <c r="A113" s="150">
        <v>4.5</v>
      </c>
      <c r="B113" s="202" t="s">
        <v>29</v>
      </c>
      <c r="C113" s="40">
        <v>78</v>
      </c>
      <c r="D113" s="40">
        <v>107.565361130352</v>
      </c>
      <c r="E113" s="67">
        <v>111.45403372989507</v>
      </c>
      <c r="F113" s="67">
        <v>83.290640118970913</v>
      </c>
      <c r="G113" s="40">
        <v>89.643263728035336</v>
      </c>
      <c r="H113" s="67">
        <v>100.07900091304808</v>
      </c>
      <c r="I113" s="40">
        <v>99.480869999999996</v>
      </c>
      <c r="J113" s="67">
        <v>87.060037635890794</v>
      </c>
      <c r="K113" s="40">
        <v>102.99831666666667</v>
      </c>
      <c r="L113" s="67">
        <v>101.96685834605556</v>
      </c>
      <c r="M113" s="67">
        <v>84.539359248595858</v>
      </c>
      <c r="N113" s="67">
        <v>105.3724</v>
      </c>
      <c r="O113" s="67">
        <v>94.947270096190408</v>
      </c>
      <c r="P113" s="67">
        <v>155</v>
      </c>
      <c r="Q113" s="67">
        <v>66.906751802498661</v>
      </c>
      <c r="R113" s="67">
        <v>80.786906501798896</v>
      </c>
      <c r="S113" s="67">
        <v>54.208377526482828</v>
      </c>
      <c r="T113" s="67">
        <v>70.236995719289126</v>
      </c>
      <c r="U113" s="40">
        <v>37.168520000000001</v>
      </c>
      <c r="V113" s="40">
        <v>95.44669130875667</v>
      </c>
      <c r="W113" s="67">
        <v>79</v>
      </c>
      <c r="X113" s="40">
        <v>152.1002</v>
      </c>
      <c r="Y113" s="67">
        <v>84.37268788409915</v>
      </c>
      <c r="Z113" s="40">
        <v>46.424581005586589</v>
      </c>
      <c r="AA113" s="40">
        <v>84.05837387074358</v>
      </c>
      <c r="AB113" s="40">
        <v>71.962239999999994</v>
      </c>
      <c r="AC113" s="40">
        <v>104.0722724113968</v>
      </c>
      <c r="AD113" s="67">
        <v>68.580889999999997</v>
      </c>
      <c r="AE113" s="67">
        <v>86.984626932631329</v>
      </c>
      <c r="AF113" s="67">
        <v>71.703503814000001</v>
      </c>
      <c r="AG113" s="140"/>
      <c r="AH113" s="138">
        <v>41</v>
      </c>
      <c r="AI113" s="138">
        <v>98.008033013294067</v>
      </c>
      <c r="AJ113" s="138">
        <v>76.108239999999995</v>
      </c>
    </row>
    <row r="114" spans="1:247" s="149" customFormat="1" ht="9.9499999999999993" customHeight="1">
      <c r="A114" s="145">
        <v>5</v>
      </c>
      <c r="B114" s="204" t="s">
        <v>30</v>
      </c>
      <c r="C114" s="198">
        <v>22</v>
      </c>
      <c r="D114" s="198">
        <v>13.433529999999999</v>
      </c>
      <c r="E114" s="189">
        <v>9.0342673822314659</v>
      </c>
      <c r="F114" s="189">
        <v>35.634061432118351</v>
      </c>
      <c r="G114" s="198">
        <v>9.6142049437790345</v>
      </c>
      <c r="H114" s="189">
        <v>4.4668403200515483</v>
      </c>
      <c r="I114" s="198">
        <v>40.008616000000004</v>
      </c>
      <c r="J114" s="189">
        <v>9.9747168748657931</v>
      </c>
      <c r="K114" s="198">
        <v>17.837325</v>
      </c>
      <c r="L114" s="189">
        <v>6.5149976170496755</v>
      </c>
      <c r="M114" s="189">
        <v>7.6134485606417019</v>
      </c>
      <c r="N114" s="189">
        <v>42.442701999999997</v>
      </c>
      <c r="O114" s="189">
        <v>14.294777194752101</v>
      </c>
      <c r="P114" s="189">
        <v>40</v>
      </c>
      <c r="Q114" s="189">
        <v>31.756468338811743</v>
      </c>
      <c r="R114" s="189">
        <v>5.3358333198896233</v>
      </c>
      <c r="S114" s="189">
        <v>8.6944225230513155</v>
      </c>
      <c r="T114" s="189">
        <v>14.512388117784408</v>
      </c>
      <c r="U114" s="198">
        <v>23.214560299999999</v>
      </c>
      <c r="V114" s="198">
        <v>16.739884275353052</v>
      </c>
      <c r="W114" s="189">
        <v>19</v>
      </c>
      <c r="X114" s="198">
        <v>4.9389900000000004</v>
      </c>
      <c r="Y114" s="189">
        <v>12.5665772706338</v>
      </c>
      <c r="Z114" s="198">
        <v>7.039106145251397</v>
      </c>
      <c r="AA114" s="198">
        <v>6.004169562195969</v>
      </c>
      <c r="AB114" s="198">
        <v>13.180323</v>
      </c>
      <c r="AC114" s="198">
        <v>5.0034746351633075</v>
      </c>
      <c r="AD114" s="189">
        <v>46.099934999999995</v>
      </c>
      <c r="AE114" s="189">
        <v>35.057837464993824</v>
      </c>
      <c r="AF114" s="189">
        <v>29.468913821999998</v>
      </c>
      <c r="AG114" s="140"/>
      <c r="AH114" s="147">
        <v>12</v>
      </c>
      <c r="AI114" s="147">
        <v>12.552157820664268</v>
      </c>
      <c r="AJ114" s="147">
        <v>18.698800799999997</v>
      </c>
      <c r="AK114" s="86"/>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c r="BZ114" s="86"/>
      <c r="CA114" s="86"/>
      <c r="CB114" s="86"/>
      <c r="CC114" s="86"/>
      <c r="CD114" s="86"/>
      <c r="CE114" s="86"/>
      <c r="CF114" s="86"/>
      <c r="CG114" s="86"/>
      <c r="CH114" s="86"/>
      <c r="CI114" s="86"/>
      <c r="CJ114" s="86"/>
      <c r="CK114" s="86"/>
      <c r="CL114" s="86"/>
      <c r="CM114" s="86"/>
      <c r="CN114" s="86"/>
      <c r="CO114" s="86"/>
      <c r="CP114" s="86"/>
      <c r="CQ114" s="86"/>
      <c r="CR114" s="86"/>
      <c r="CS114" s="86"/>
      <c r="CT114" s="86"/>
      <c r="CU114" s="86"/>
      <c r="CV114" s="86"/>
      <c r="CW114" s="86"/>
      <c r="CX114" s="86"/>
      <c r="CY114" s="86"/>
      <c r="CZ114" s="86"/>
      <c r="DA114" s="86"/>
      <c r="DB114" s="86"/>
      <c r="DC114" s="86"/>
      <c r="DD114" s="86"/>
      <c r="DE114" s="86"/>
      <c r="DF114" s="86"/>
      <c r="DG114" s="86"/>
      <c r="DH114" s="86"/>
      <c r="DI114" s="86"/>
      <c r="DJ114" s="86"/>
      <c r="DK114" s="86"/>
      <c r="DL114" s="86"/>
      <c r="DM114" s="86"/>
      <c r="DN114" s="86"/>
      <c r="DO114" s="86"/>
      <c r="DP114" s="86"/>
      <c r="DQ114" s="86"/>
      <c r="DR114" s="86"/>
      <c r="DS114" s="86"/>
      <c r="DT114" s="86"/>
      <c r="DU114" s="86"/>
      <c r="DV114" s="86"/>
      <c r="DW114" s="86"/>
      <c r="DX114" s="86"/>
      <c r="DY114" s="86"/>
      <c r="DZ114" s="86"/>
      <c r="EA114" s="86"/>
      <c r="EB114" s="86"/>
      <c r="EC114" s="86"/>
      <c r="ED114" s="86"/>
      <c r="EE114" s="86"/>
      <c r="EF114" s="86"/>
      <c r="EG114" s="86"/>
      <c r="EH114" s="86"/>
      <c r="EI114" s="86"/>
      <c r="EJ114" s="86"/>
      <c r="EK114" s="86"/>
      <c r="EL114" s="86"/>
      <c r="EM114" s="86"/>
      <c r="EN114" s="86"/>
      <c r="EO114" s="86"/>
      <c r="EP114" s="86"/>
      <c r="EQ114" s="86"/>
      <c r="ER114" s="86"/>
      <c r="ES114" s="86"/>
      <c r="ET114" s="86"/>
      <c r="EU114" s="86"/>
      <c r="EV114" s="86"/>
      <c r="EW114" s="86"/>
      <c r="EX114" s="86"/>
      <c r="EY114" s="86"/>
      <c r="EZ114" s="86"/>
      <c r="FA114" s="86"/>
      <c r="FB114" s="86"/>
      <c r="FC114" s="86"/>
      <c r="FD114" s="86"/>
      <c r="FE114" s="86"/>
      <c r="FF114" s="86"/>
      <c r="FG114" s="86"/>
      <c r="FH114" s="86"/>
      <c r="FI114" s="86"/>
      <c r="FJ114" s="86"/>
      <c r="FK114" s="86"/>
      <c r="FL114" s="86"/>
      <c r="FM114" s="86"/>
      <c r="FN114" s="86"/>
      <c r="FO114" s="86"/>
      <c r="FP114" s="86"/>
      <c r="FQ114" s="86"/>
      <c r="FR114" s="86"/>
      <c r="FS114" s="86"/>
      <c r="FT114" s="86"/>
      <c r="FU114" s="86"/>
      <c r="FV114" s="86"/>
      <c r="FW114" s="86"/>
      <c r="FX114" s="86"/>
      <c r="FY114" s="86"/>
      <c r="FZ114" s="86"/>
      <c r="GA114" s="86"/>
      <c r="GB114" s="86"/>
      <c r="GC114" s="86"/>
      <c r="GD114" s="86"/>
      <c r="GE114" s="86"/>
      <c r="GF114" s="86"/>
      <c r="GG114" s="86"/>
      <c r="GH114" s="86"/>
      <c r="GI114" s="86"/>
      <c r="GJ114" s="86"/>
      <c r="GK114" s="86"/>
      <c r="GL114" s="86"/>
      <c r="GM114" s="86"/>
      <c r="GN114" s="86"/>
      <c r="GO114" s="86"/>
      <c r="GP114" s="86"/>
      <c r="GQ114" s="86"/>
      <c r="GR114" s="86"/>
      <c r="GS114" s="86"/>
      <c r="GT114" s="86"/>
      <c r="GU114" s="86"/>
      <c r="GV114" s="86"/>
      <c r="GW114" s="86"/>
      <c r="GX114" s="86"/>
      <c r="GY114" s="86"/>
      <c r="GZ114" s="86"/>
      <c r="HA114" s="86"/>
      <c r="HB114" s="86"/>
      <c r="HC114" s="86"/>
      <c r="HD114" s="86"/>
      <c r="HE114" s="86"/>
      <c r="HF114" s="86"/>
      <c r="HG114" s="86"/>
      <c r="HH114" s="86"/>
      <c r="HI114" s="86"/>
      <c r="HJ114" s="86"/>
      <c r="HK114" s="86"/>
      <c r="HL114" s="86"/>
      <c r="HM114" s="86"/>
      <c r="HN114" s="86"/>
      <c r="HO114" s="86"/>
      <c r="HP114" s="86"/>
      <c r="HQ114" s="86"/>
      <c r="HR114" s="86"/>
      <c r="HS114" s="86"/>
      <c r="HT114" s="86"/>
      <c r="HU114" s="86"/>
      <c r="HV114" s="86"/>
      <c r="HW114" s="86"/>
      <c r="HX114" s="86"/>
      <c r="HY114" s="86"/>
      <c r="HZ114" s="86"/>
      <c r="IA114" s="86"/>
      <c r="IB114" s="86"/>
      <c r="IC114" s="86"/>
      <c r="ID114" s="86"/>
      <c r="IE114" s="86"/>
      <c r="IF114" s="86"/>
      <c r="IG114" s="86"/>
      <c r="IH114" s="86"/>
      <c r="II114" s="86"/>
      <c r="IJ114" s="86"/>
      <c r="IK114" s="86"/>
      <c r="IL114" s="86"/>
      <c r="IM114" s="86"/>
    </row>
    <row r="115" spans="1:247" ht="9.9499999999999993" customHeight="1">
      <c r="A115" s="150">
        <v>5.0999999999999996</v>
      </c>
      <c r="B115" s="203" t="s">
        <v>31</v>
      </c>
      <c r="C115" s="40">
        <v>15</v>
      </c>
      <c r="D115" s="40">
        <v>3.6884160469623302</v>
      </c>
      <c r="E115" s="67">
        <v>2.5171336911157329</v>
      </c>
      <c r="F115" s="67">
        <v>4.6519873381180705</v>
      </c>
      <c r="G115" s="40">
        <v>5.1719129595480311</v>
      </c>
      <c r="H115" s="67">
        <v>1.6181599682022052</v>
      </c>
      <c r="I115" s="40">
        <v>1.1416459999999999</v>
      </c>
      <c r="J115" s="67">
        <v>2.9996872630975702</v>
      </c>
      <c r="K115" s="40">
        <v>2.7406983333333335</v>
      </c>
      <c r="L115" s="67">
        <v>3.6036656879921889</v>
      </c>
      <c r="M115" s="67">
        <v>2.1947590012557825</v>
      </c>
      <c r="N115" s="67">
        <v>6.6607820000000002</v>
      </c>
      <c r="O115" s="67">
        <v>8.1758564263189335</v>
      </c>
      <c r="P115" s="67" t="s">
        <v>248</v>
      </c>
      <c r="Q115" s="67">
        <v>12.201113094715149</v>
      </c>
      <c r="R115" s="67">
        <v>2.7665417496405582</v>
      </c>
      <c r="S115" s="67">
        <v>3.1078879545051654</v>
      </c>
      <c r="T115" s="67">
        <v>4.02425736152549</v>
      </c>
      <c r="U115" s="40">
        <v>22.286899999999999</v>
      </c>
      <c r="V115" s="40">
        <v>7.0648841415363934</v>
      </c>
      <c r="W115" s="67">
        <v>10</v>
      </c>
      <c r="X115" s="40">
        <v>2.1656110000000002</v>
      </c>
      <c r="Y115" s="67">
        <v>9.3742573678389292</v>
      </c>
      <c r="Z115" s="40">
        <v>6.033519553072626</v>
      </c>
      <c r="AA115" s="40">
        <v>4.002779708130646</v>
      </c>
      <c r="AB115" s="40">
        <v>4.3492350000000002</v>
      </c>
      <c r="AC115" s="40" t="s">
        <v>248</v>
      </c>
      <c r="AD115" s="67">
        <v>40.662329999999997</v>
      </c>
      <c r="AE115" s="67">
        <v>4.9716903101558998</v>
      </c>
      <c r="AF115" s="67">
        <v>8.0573173320000002</v>
      </c>
      <c r="AG115" s="140"/>
      <c r="AH115" s="138" t="s">
        <v>248</v>
      </c>
      <c r="AI115" s="138">
        <v>12.552157820664268</v>
      </c>
      <c r="AJ115" s="138">
        <v>18.697299999999998</v>
      </c>
    </row>
    <row r="116" spans="1:247" ht="9.9499999999999993" customHeight="1">
      <c r="A116" s="156">
        <v>5.2</v>
      </c>
      <c r="B116" s="206" t="s">
        <v>32</v>
      </c>
      <c r="C116" s="199">
        <v>7.0000000000000018</v>
      </c>
      <c r="D116" s="199">
        <v>9.7451163392001501</v>
      </c>
      <c r="E116" s="200">
        <v>6.5171336911157329</v>
      </c>
      <c r="F116" s="200">
        <v>30.982074094000282</v>
      </c>
      <c r="G116" s="199">
        <v>4.4422919842310016</v>
      </c>
      <c r="H116" s="200">
        <v>2.8486803518493433</v>
      </c>
      <c r="I116" s="199">
        <v>38.866970000000002</v>
      </c>
      <c r="J116" s="200">
        <v>6.975029611768222</v>
      </c>
      <c r="K116" s="199">
        <v>15.096626666666667</v>
      </c>
      <c r="L116" s="200">
        <v>2.9113319290574866</v>
      </c>
      <c r="M116" s="200">
        <v>5.4186895593859186</v>
      </c>
      <c r="N116" s="200">
        <v>35.78192</v>
      </c>
      <c r="O116" s="200">
        <v>6.1189207684331679</v>
      </c>
      <c r="P116" s="200">
        <v>40</v>
      </c>
      <c r="Q116" s="200">
        <v>19.555355244096596</v>
      </c>
      <c r="R116" s="200">
        <v>2.5692915702490646</v>
      </c>
      <c r="S116" s="200">
        <v>5.5865345685461492</v>
      </c>
      <c r="T116" s="200">
        <v>10.488130756258919</v>
      </c>
      <c r="U116" s="199">
        <v>0.92766029999999999</v>
      </c>
      <c r="V116" s="199">
        <v>9.675000133816658</v>
      </c>
      <c r="W116" s="200">
        <v>9</v>
      </c>
      <c r="X116" s="199">
        <v>2.7733789999999998</v>
      </c>
      <c r="Y116" s="200">
        <v>3.1923199027948717</v>
      </c>
      <c r="Z116" s="199">
        <v>1.005586592178771</v>
      </c>
      <c r="AA116" s="199">
        <v>2.001389854065323</v>
      </c>
      <c r="AB116" s="199">
        <v>8.8310879999999994</v>
      </c>
      <c r="AC116" s="199" t="s">
        <v>248</v>
      </c>
      <c r="AD116" s="200">
        <v>5.4376049999999996</v>
      </c>
      <c r="AE116" s="200">
        <v>30.086147154837921</v>
      </c>
      <c r="AF116" s="200">
        <v>21.411596490000001</v>
      </c>
      <c r="AG116" s="140"/>
      <c r="AH116" s="144">
        <v>12</v>
      </c>
      <c r="AI116" s="138" t="s">
        <v>248</v>
      </c>
      <c r="AJ116" s="144" t="s">
        <v>248</v>
      </c>
    </row>
    <row r="117" spans="1:247" s="149" customFormat="1" ht="9.9499999999999993" customHeight="1">
      <c r="A117" s="145" t="s">
        <v>2</v>
      </c>
      <c r="B117" s="204" t="s">
        <v>33</v>
      </c>
      <c r="C117" s="171">
        <v>1440</v>
      </c>
      <c r="D117" s="171">
        <v>1440.2147135</v>
      </c>
      <c r="E117" s="171">
        <v>1440</v>
      </c>
      <c r="F117" s="171">
        <v>1440</v>
      </c>
      <c r="G117" s="147">
        <v>1440</v>
      </c>
      <c r="H117" s="147">
        <v>1439.6875667872612</v>
      </c>
      <c r="I117" s="147">
        <v>1440.0000210000001</v>
      </c>
      <c r="J117" s="147">
        <v>1440</v>
      </c>
      <c r="K117" s="147">
        <v>1439.9999461666666</v>
      </c>
      <c r="L117" s="171">
        <v>1440</v>
      </c>
      <c r="M117" s="147">
        <v>1440</v>
      </c>
      <c r="N117" s="147">
        <v>1440</v>
      </c>
      <c r="O117" s="147">
        <v>1440</v>
      </c>
      <c r="P117" s="147">
        <v>1439.85168683045</v>
      </c>
      <c r="Q117" s="147">
        <v>1440</v>
      </c>
      <c r="R117" s="171">
        <v>1440.0000000000002</v>
      </c>
      <c r="S117" s="171"/>
      <c r="T117" s="171"/>
      <c r="U117" s="147">
        <v>1440</v>
      </c>
      <c r="V117" s="148">
        <v>1440</v>
      </c>
      <c r="W117" s="147">
        <v>1440</v>
      </c>
      <c r="X117" s="147">
        <v>1440.000078</v>
      </c>
      <c r="Y117" s="147">
        <v>1440</v>
      </c>
      <c r="Z117" s="147">
        <v>1440</v>
      </c>
      <c r="AA117" s="147">
        <v>1440</v>
      </c>
      <c r="AB117" s="147">
        <v>1439.6097141</v>
      </c>
      <c r="AC117" s="147">
        <v>1440</v>
      </c>
      <c r="AD117" s="147">
        <v>1440.0000000000002</v>
      </c>
      <c r="AE117" s="147">
        <v>1440</v>
      </c>
      <c r="AF117" s="147">
        <v>1440</v>
      </c>
      <c r="AG117" s="140"/>
      <c r="AH117" s="147">
        <v>1440</v>
      </c>
      <c r="AI117" s="158">
        <v>1440</v>
      </c>
      <c r="AJ117" s="147">
        <v>1440</v>
      </c>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6"/>
      <c r="BQ117" s="86"/>
      <c r="BR117" s="86"/>
      <c r="BS117" s="86"/>
      <c r="BT117" s="86"/>
      <c r="BU117" s="86"/>
      <c r="BV117" s="86"/>
      <c r="BW117" s="86"/>
      <c r="BX117" s="86"/>
      <c r="BY117" s="86"/>
      <c r="BZ117" s="86"/>
      <c r="CA117" s="86"/>
      <c r="CB117" s="86"/>
      <c r="CC117" s="86"/>
      <c r="CD117" s="86"/>
      <c r="CE117" s="86"/>
      <c r="CF117" s="86"/>
      <c r="CG117" s="86"/>
      <c r="CH117" s="86"/>
      <c r="CI117" s="86"/>
      <c r="CJ117" s="86"/>
      <c r="CK117" s="86"/>
      <c r="CL117" s="86"/>
      <c r="CM117" s="86"/>
      <c r="CN117" s="86"/>
      <c r="CO117" s="86"/>
      <c r="CP117" s="86"/>
      <c r="CQ117" s="86"/>
      <c r="CR117" s="86"/>
      <c r="CS117" s="86"/>
      <c r="CT117" s="86"/>
      <c r="CU117" s="86"/>
      <c r="CV117" s="86"/>
      <c r="CW117" s="86"/>
      <c r="CX117" s="86"/>
      <c r="CY117" s="86"/>
      <c r="CZ117" s="86"/>
      <c r="DA117" s="86"/>
      <c r="DB117" s="86"/>
      <c r="DC117" s="86"/>
      <c r="DD117" s="86"/>
      <c r="DE117" s="86"/>
      <c r="DF117" s="86"/>
      <c r="DG117" s="86"/>
      <c r="DH117" s="86"/>
      <c r="DI117" s="86"/>
      <c r="DJ117" s="86"/>
      <c r="DK117" s="86"/>
      <c r="DL117" s="86"/>
      <c r="DM117" s="86"/>
      <c r="DN117" s="86"/>
      <c r="DO117" s="86"/>
      <c r="DP117" s="86"/>
      <c r="DQ117" s="86"/>
      <c r="DR117" s="86"/>
      <c r="DS117" s="86"/>
      <c r="DT117" s="86"/>
      <c r="DU117" s="86"/>
      <c r="DV117" s="86"/>
      <c r="DW117" s="86"/>
      <c r="DX117" s="86"/>
      <c r="DY117" s="86"/>
      <c r="DZ117" s="86"/>
      <c r="EA117" s="86"/>
      <c r="EB117" s="86"/>
      <c r="EC117" s="86"/>
      <c r="ED117" s="86"/>
      <c r="EE117" s="86"/>
      <c r="EF117" s="86"/>
      <c r="EG117" s="86"/>
      <c r="EH117" s="86"/>
      <c r="EI117" s="86"/>
      <c r="EJ117" s="86"/>
      <c r="EK117" s="86"/>
      <c r="EL117" s="86"/>
      <c r="EM117" s="86"/>
      <c r="EN117" s="86"/>
      <c r="EO117" s="86"/>
      <c r="EP117" s="86"/>
      <c r="EQ117" s="86"/>
      <c r="ER117" s="86"/>
      <c r="ES117" s="86"/>
      <c r="ET117" s="86"/>
      <c r="EU117" s="86"/>
      <c r="EV117" s="86"/>
      <c r="EW117" s="86"/>
      <c r="EX117" s="86"/>
      <c r="EY117" s="86"/>
      <c r="EZ117" s="86"/>
      <c r="FA117" s="86"/>
      <c r="FB117" s="86"/>
      <c r="FC117" s="86"/>
      <c r="FD117" s="86"/>
      <c r="FE117" s="86"/>
      <c r="FF117" s="86"/>
      <c r="FG117" s="86"/>
      <c r="FH117" s="86"/>
      <c r="FI117" s="86"/>
      <c r="FJ117" s="86"/>
      <c r="FK117" s="86"/>
      <c r="FL117" s="86"/>
      <c r="FM117" s="86"/>
      <c r="FN117" s="86"/>
      <c r="FO117" s="86"/>
      <c r="FP117" s="86"/>
      <c r="FQ117" s="86"/>
      <c r="FR117" s="86"/>
      <c r="FS117" s="86"/>
      <c r="FT117" s="86"/>
      <c r="FU117" s="86"/>
      <c r="FV117" s="86"/>
      <c r="FW117" s="86"/>
      <c r="FX117" s="86"/>
      <c r="FY117" s="86"/>
      <c r="FZ117" s="86"/>
      <c r="GA117" s="86"/>
      <c r="GB117" s="86"/>
      <c r="GC117" s="86"/>
      <c r="GD117" s="86"/>
      <c r="GE117" s="86"/>
      <c r="GF117" s="86"/>
      <c r="GG117" s="86"/>
      <c r="GH117" s="86"/>
      <c r="GI117" s="86"/>
      <c r="GJ117" s="86"/>
      <c r="GK117" s="86"/>
      <c r="GL117" s="86"/>
      <c r="GM117" s="86"/>
      <c r="GN117" s="86"/>
      <c r="GO117" s="86"/>
      <c r="GP117" s="86"/>
      <c r="GQ117" s="86"/>
      <c r="GR117" s="86"/>
      <c r="GS117" s="86"/>
      <c r="GT117" s="86"/>
      <c r="GU117" s="86"/>
      <c r="GV117" s="86"/>
      <c r="GW117" s="86"/>
      <c r="GX117" s="86"/>
      <c r="GY117" s="86"/>
      <c r="GZ117" s="86"/>
      <c r="HA117" s="86"/>
      <c r="HB117" s="86"/>
      <c r="HC117" s="86"/>
      <c r="HD117" s="86"/>
      <c r="HE117" s="86"/>
      <c r="HF117" s="86"/>
      <c r="HG117" s="86"/>
      <c r="HH117" s="86"/>
      <c r="HI117" s="86"/>
      <c r="HJ117" s="86"/>
      <c r="HK117" s="86"/>
      <c r="HL117" s="86"/>
      <c r="HM117" s="86"/>
      <c r="HN117" s="86"/>
      <c r="HO117" s="86"/>
      <c r="HP117" s="86"/>
      <c r="HQ117" s="86"/>
      <c r="HR117" s="86"/>
      <c r="HS117" s="86"/>
      <c r="HT117" s="86"/>
      <c r="HU117" s="86"/>
      <c r="HV117" s="86"/>
      <c r="HW117" s="86"/>
      <c r="HX117" s="86"/>
      <c r="HY117" s="86"/>
      <c r="HZ117" s="86"/>
      <c r="IA117" s="86"/>
      <c r="IB117" s="86"/>
      <c r="IC117" s="86"/>
      <c r="ID117" s="86"/>
      <c r="IE117" s="86"/>
      <c r="IF117" s="86"/>
      <c r="IG117" s="86"/>
      <c r="IH117" s="86"/>
      <c r="II117" s="86"/>
      <c r="IJ117" s="86"/>
      <c r="IK117" s="86"/>
      <c r="IL117" s="86"/>
      <c r="IM117" s="86"/>
    </row>
    <row r="118" spans="1:247">
      <c r="A118" s="160" t="s">
        <v>512</v>
      </c>
      <c r="C118" s="91" t="s">
        <v>503</v>
      </c>
      <c r="D118" s="92"/>
      <c r="E118" s="91"/>
      <c r="F118" s="92"/>
      <c r="G118" s="92"/>
      <c r="H118" s="162"/>
      <c r="I118" s="92"/>
      <c r="J118" s="92"/>
      <c r="K118" s="92"/>
      <c r="L118" s="91"/>
      <c r="M118" s="91"/>
      <c r="N118" s="92"/>
      <c r="O118" s="92"/>
      <c r="P118" s="92"/>
      <c r="Q118" s="92"/>
      <c r="R118" s="92"/>
      <c r="S118" s="92"/>
      <c r="T118" s="92"/>
      <c r="U118" s="92"/>
      <c r="V118" s="92"/>
      <c r="W118" s="92"/>
      <c r="X118" s="92"/>
      <c r="Y118" s="91"/>
      <c r="Z118" s="92"/>
      <c r="AA118" s="92"/>
      <c r="AB118" s="92"/>
      <c r="AC118" s="91"/>
      <c r="AD118" s="91"/>
      <c r="AE118" s="92"/>
      <c r="AF118" s="92"/>
      <c r="AG118" s="86"/>
      <c r="AH118" s="91" t="s">
        <v>504</v>
      </c>
      <c r="AI118" s="92"/>
      <c r="AJ118" s="93"/>
    </row>
    <row r="119" spans="1:247" ht="409.5">
      <c r="A119" s="164"/>
      <c r="C119" s="214" t="s">
        <v>237</v>
      </c>
      <c r="D119" s="216"/>
      <c r="E119" s="214" t="s">
        <v>486</v>
      </c>
      <c r="F119" s="217"/>
      <c r="G119" s="216"/>
      <c r="H119" s="214" t="s">
        <v>486</v>
      </c>
      <c r="I119" s="216"/>
      <c r="J119" s="217"/>
      <c r="K119" s="216"/>
      <c r="L119" s="214" t="s">
        <v>486</v>
      </c>
      <c r="M119" s="214" t="s">
        <v>486</v>
      </c>
      <c r="N119" s="217"/>
      <c r="O119" s="217"/>
      <c r="P119" s="215" t="s">
        <v>560</v>
      </c>
      <c r="Q119" s="217"/>
      <c r="R119" s="217"/>
      <c r="S119" s="214" t="s">
        <v>488</v>
      </c>
      <c r="T119" s="214" t="s">
        <v>486</v>
      </c>
      <c r="U119" s="214" t="s">
        <v>555</v>
      </c>
      <c r="V119" s="216"/>
      <c r="W119" s="215"/>
      <c r="X119" s="216"/>
      <c r="Y119" s="214" t="s">
        <v>486</v>
      </c>
      <c r="Z119"/>
      <c r="AA119" s="37"/>
      <c r="AB119"/>
      <c r="AC119" s="49"/>
      <c r="AD119" s="37"/>
      <c r="AE119" s="25"/>
      <c r="AF119" s="25"/>
      <c r="AG119" s="86"/>
      <c r="AH119" s="87"/>
      <c r="AI119" s="87"/>
      <c r="AJ119" s="93"/>
    </row>
    <row r="120" spans="1:247">
      <c r="C120" s="86"/>
      <c r="D120" s="86"/>
      <c r="E120" s="86"/>
      <c r="F120" s="94"/>
      <c r="G120" s="86"/>
      <c r="H120" s="86"/>
      <c r="I120" s="94"/>
      <c r="J120" s="86"/>
      <c r="K120" s="86"/>
      <c r="L120" s="86"/>
      <c r="M120" s="86"/>
      <c r="N120" s="86"/>
      <c r="O120" s="86"/>
      <c r="U120" s="86"/>
      <c r="W120" s="94"/>
      <c r="Z120" s="86"/>
      <c r="AA120" s="86"/>
      <c r="AB120" s="86"/>
      <c r="AC120" s="86"/>
      <c r="AD120" s="86"/>
      <c r="AE120" s="86"/>
      <c r="AG120" s="86"/>
      <c r="AH120" s="86"/>
      <c r="AJ120" s="93"/>
    </row>
    <row r="121" spans="1:247">
      <c r="A121" s="164" t="s">
        <v>506</v>
      </c>
      <c r="B121" s="164"/>
      <c r="C121" s="164"/>
      <c r="D121" s="164"/>
      <c r="E121" s="164"/>
      <c r="H121" s="87"/>
      <c r="L121" s="86"/>
      <c r="O121" s="87"/>
      <c r="P121" s="135"/>
      <c r="Q121" s="87"/>
      <c r="V121" s="87"/>
      <c r="W121" s="87"/>
      <c r="X121" s="87"/>
      <c r="Y121" s="87"/>
      <c r="AF121" s="87"/>
      <c r="AG121" s="86"/>
      <c r="AH121" s="87"/>
      <c r="AI121" s="87"/>
      <c r="AJ121" s="93"/>
    </row>
    <row r="122" spans="1:247">
      <c r="A122" s="164" t="s">
        <v>507</v>
      </c>
      <c r="H122" s="87"/>
      <c r="L122" s="86"/>
      <c r="O122" s="87"/>
      <c r="P122" s="87"/>
      <c r="Q122" s="87"/>
      <c r="V122" s="87"/>
      <c r="W122" s="87"/>
      <c r="X122" s="87"/>
      <c r="Y122" s="87"/>
      <c r="AF122" s="87"/>
      <c r="AG122" s="86"/>
      <c r="AH122" s="87"/>
      <c r="AI122" s="87"/>
      <c r="AJ122" s="93"/>
    </row>
    <row r="123" spans="1:247">
      <c r="O123" s="87"/>
      <c r="P123" s="87"/>
      <c r="U123" s="86"/>
      <c r="W123" s="87"/>
      <c r="Z123" s="86"/>
      <c r="AA123" s="86"/>
      <c r="AF123" s="87"/>
      <c r="AG123" s="86"/>
      <c r="AH123" s="87"/>
      <c r="AI123" s="87"/>
      <c r="AJ123" s="93"/>
    </row>
    <row r="124" spans="1:247">
      <c r="O124" s="87"/>
      <c r="P124" s="87"/>
      <c r="U124" s="86"/>
      <c r="V124" s="87"/>
      <c r="Z124" s="86"/>
      <c r="AF124" s="87"/>
      <c r="AH124" s="87"/>
      <c r="AI124" s="93"/>
    </row>
    <row r="125" spans="1:247">
      <c r="O125" s="87"/>
      <c r="P125" s="87"/>
      <c r="U125" s="86"/>
      <c r="V125" s="87"/>
      <c r="Z125" s="86"/>
      <c r="AF125" s="87"/>
      <c r="AH125" s="87"/>
      <c r="AI125" s="93"/>
    </row>
    <row r="126" spans="1:247">
      <c r="O126" s="87"/>
      <c r="P126" s="87"/>
      <c r="U126" s="86"/>
      <c r="V126" s="87"/>
      <c r="Z126" s="86"/>
      <c r="AF126" s="87"/>
      <c r="AH126" s="87"/>
      <c r="AI126" s="93"/>
    </row>
    <row r="127" spans="1:247">
      <c r="O127" s="87"/>
      <c r="P127" s="87"/>
      <c r="U127" s="86"/>
      <c r="V127" s="87"/>
      <c r="Z127" s="86"/>
      <c r="AF127" s="87"/>
      <c r="AH127" s="87"/>
      <c r="AI127" s="93"/>
    </row>
    <row r="128" spans="1:247">
      <c r="O128" s="87"/>
      <c r="P128" s="87"/>
      <c r="U128" s="86"/>
      <c r="V128" s="87"/>
      <c r="Z128" s="86"/>
      <c r="AF128" s="87"/>
      <c r="AH128" s="87"/>
      <c r="AI128" s="93"/>
    </row>
    <row r="129" spans="15:35">
      <c r="O129" s="87"/>
      <c r="P129" s="87"/>
      <c r="U129" s="86"/>
      <c r="V129" s="87"/>
      <c r="Z129" s="86"/>
      <c r="AF129" s="87"/>
      <c r="AH129" s="87"/>
      <c r="AI129" s="93"/>
    </row>
    <row r="130" spans="15:35">
      <c r="O130" s="87"/>
      <c r="P130" s="87"/>
      <c r="U130" s="86"/>
      <c r="V130" s="87"/>
      <c r="Z130" s="86"/>
      <c r="AF130" s="87"/>
      <c r="AH130" s="87"/>
      <c r="AI130" s="93"/>
    </row>
    <row r="131" spans="15:35">
      <c r="O131" s="87"/>
      <c r="P131" s="87"/>
      <c r="U131" s="86"/>
      <c r="V131" s="87"/>
      <c r="Z131" s="86"/>
      <c r="AF131" s="87"/>
      <c r="AH131" s="87"/>
      <c r="AI131" s="93"/>
    </row>
    <row r="132" spans="15:35">
      <c r="O132" s="87"/>
    </row>
    <row r="133" spans="15:35">
      <c r="O133" s="87"/>
    </row>
    <row r="134" spans="15:35">
      <c r="O134" s="87"/>
    </row>
    <row r="135" spans="15:35">
      <c r="O135" s="87"/>
    </row>
    <row r="136" spans="15:35">
      <c r="O136" s="87"/>
    </row>
    <row r="137" spans="15:35">
      <c r="O137" s="87"/>
    </row>
    <row r="138" spans="15:35">
      <c r="O138" s="87"/>
    </row>
    <row r="139" spans="15:35">
      <c r="O139" s="87"/>
    </row>
    <row r="140" spans="15:35">
      <c r="O140" s="87"/>
    </row>
    <row r="141" spans="15:35">
      <c r="O141" s="87"/>
    </row>
    <row r="142" spans="15:35">
      <c r="O142" s="87"/>
    </row>
  </sheetData>
  <mergeCells count="6">
    <mergeCell ref="P99:P100"/>
    <mergeCell ref="P8:P9"/>
    <mergeCell ref="P17:P18"/>
    <mergeCell ref="P49:P50"/>
    <mergeCell ref="P58:P59"/>
    <mergeCell ref="P90:P91"/>
  </mergeCells>
  <pageMargins left="0.7" right="0.7" top="0.75" bottom="0.75" header="0.3" footer="0.3"/>
  <pageSetup paperSize="9" orientation="portrait" r:id="rId1"/>
  <headerFooter>
    <oddFooter>&amp;C_x000D_&amp;1#&amp;"Aptos"&amp;10&amp;K0000FF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B0AF-1FDC-411F-8CF9-2B9295F827C0}">
  <dimension ref="A1:IN142"/>
  <sheetViews>
    <sheetView workbookViewId="0"/>
  </sheetViews>
  <sheetFormatPr defaultRowHeight="11.25"/>
  <cols>
    <col min="1" max="1" width="9.140625" style="163" customWidth="1"/>
    <col min="2" max="2" width="48.7109375" style="161" customWidth="1"/>
    <col min="3" max="7" width="10.5703125" style="87" customWidth="1"/>
    <col min="8" max="8" width="10.5703125" style="134" customWidth="1"/>
    <col min="9" max="14" width="10.5703125" style="87" customWidth="1"/>
    <col min="15" max="15" width="10.5703125" style="135" customWidth="1"/>
    <col min="16" max="20" width="10.5703125" style="86" customWidth="1"/>
    <col min="21" max="21" width="10.5703125" style="87" customWidth="1"/>
    <col min="22" max="25" width="10.5703125" style="86" customWidth="1"/>
    <col min="26" max="31" width="10.5703125" style="87" customWidth="1"/>
    <col min="32" max="32" width="10.5703125" style="86" customWidth="1"/>
    <col min="33" max="33" width="10.5703125" style="87" customWidth="1"/>
    <col min="34" max="34" width="10.5703125" style="93" customWidth="1"/>
    <col min="35" max="36" width="10.5703125" style="86" customWidth="1"/>
    <col min="37" max="257" width="8.7109375" style="86"/>
    <col min="258" max="258" width="5.42578125" style="86" customWidth="1"/>
    <col min="259" max="259" width="31.140625" style="86" customWidth="1"/>
    <col min="260" max="276" width="7.5703125" style="86" customWidth="1"/>
    <col min="277" max="277" width="11" style="86" customWidth="1"/>
    <col min="278" max="280" width="7.5703125" style="86" customWidth="1"/>
    <col min="281" max="282" width="10.7109375" style="86" customWidth="1"/>
    <col min="283" max="283" width="11" style="86" customWidth="1"/>
    <col min="284" max="286" width="10.7109375" style="86" customWidth="1"/>
    <col min="287" max="287" width="8.7109375" style="86"/>
    <col min="288" max="289" width="7.5703125" style="86" customWidth="1"/>
    <col min="290" max="513" width="8.7109375" style="86"/>
    <col min="514" max="514" width="5.42578125" style="86" customWidth="1"/>
    <col min="515" max="515" width="31.140625" style="86" customWidth="1"/>
    <col min="516" max="532" width="7.5703125" style="86" customWidth="1"/>
    <col min="533" max="533" width="11" style="86" customWidth="1"/>
    <col min="534" max="536" width="7.5703125" style="86" customWidth="1"/>
    <col min="537" max="538" width="10.7109375" style="86" customWidth="1"/>
    <col min="539" max="539" width="11" style="86" customWidth="1"/>
    <col min="540" max="542" width="10.7109375" style="86" customWidth="1"/>
    <col min="543" max="543" width="8.7109375" style="86"/>
    <col min="544" max="545" width="7.5703125" style="86" customWidth="1"/>
    <col min="546" max="769" width="8.7109375" style="86"/>
    <col min="770" max="770" width="5.42578125" style="86" customWidth="1"/>
    <col min="771" max="771" width="31.140625" style="86" customWidth="1"/>
    <col min="772" max="788" width="7.5703125" style="86" customWidth="1"/>
    <col min="789" max="789" width="11" style="86" customWidth="1"/>
    <col min="790" max="792" width="7.5703125" style="86" customWidth="1"/>
    <col min="793" max="794" width="10.7109375" style="86" customWidth="1"/>
    <col min="795" max="795" width="11" style="86" customWidth="1"/>
    <col min="796" max="798" width="10.7109375" style="86" customWidth="1"/>
    <col min="799" max="799" width="8.7109375" style="86"/>
    <col min="800" max="801" width="7.5703125" style="86" customWidth="1"/>
    <col min="802" max="1025" width="8.7109375" style="86"/>
    <col min="1026" max="1026" width="5.42578125" style="86" customWidth="1"/>
    <col min="1027" max="1027" width="31.140625" style="86" customWidth="1"/>
    <col min="1028" max="1044" width="7.5703125" style="86" customWidth="1"/>
    <col min="1045" max="1045" width="11" style="86" customWidth="1"/>
    <col min="1046" max="1048" width="7.5703125" style="86" customWidth="1"/>
    <col min="1049" max="1050" width="10.7109375" style="86" customWidth="1"/>
    <col min="1051" max="1051" width="11" style="86" customWidth="1"/>
    <col min="1052" max="1054" width="10.7109375" style="86" customWidth="1"/>
    <col min="1055" max="1055" width="8.7109375" style="86"/>
    <col min="1056" max="1057" width="7.5703125" style="86" customWidth="1"/>
    <col min="1058" max="1281" width="8.7109375" style="86"/>
    <col min="1282" max="1282" width="5.42578125" style="86" customWidth="1"/>
    <col min="1283" max="1283" width="31.140625" style="86" customWidth="1"/>
    <col min="1284" max="1300" width="7.5703125" style="86" customWidth="1"/>
    <col min="1301" max="1301" width="11" style="86" customWidth="1"/>
    <col min="1302" max="1304" width="7.5703125" style="86" customWidth="1"/>
    <col min="1305" max="1306" width="10.7109375" style="86" customWidth="1"/>
    <col min="1307" max="1307" width="11" style="86" customWidth="1"/>
    <col min="1308" max="1310" width="10.7109375" style="86" customWidth="1"/>
    <col min="1311" max="1311" width="8.7109375" style="86"/>
    <col min="1312" max="1313" width="7.5703125" style="86" customWidth="1"/>
    <col min="1314" max="1537" width="8.7109375" style="86"/>
    <col min="1538" max="1538" width="5.42578125" style="86" customWidth="1"/>
    <col min="1539" max="1539" width="31.140625" style="86" customWidth="1"/>
    <col min="1540" max="1556" width="7.5703125" style="86" customWidth="1"/>
    <col min="1557" max="1557" width="11" style="86" customWidth="1"/>
    <col min="1558" max="1560" width="7.5703125" style="86" customWidth="1"/>
    <col min="1561" max="1562" width="10.7109375" style="86" customWidth="1"/>
    <col min="1563" max="1563" width="11" style="86" customWidth="1"/>
    <col min="1564" max="1566" width="10.7109375" style="86" customWidth="1"/>
    <col min="1567" max="1567" width="8.7109375" style="86"/>
    <col min="1568" max="1569" width="7.5703125" style="86" customWidth="1"/>
    <col min="1570" max="1793" width="8.7109375" style="86"/>
    <col min="1794" max="1794" width="5.42578125" style="86" customWidth="1"/>
    <col min="1795" max="1795" width="31.140625" style="86" customWidth="1"/>
    <col min="1796" max="1812" width="7.5703125" style="86" customWidth="1"/>
    <col min="1813" max="1813" width="11" style="86" customWidth="1"/>
    <col min="1814" max="1816" width="7.5703125" style="86" customWidth="1"/>
    <col min="1817" max="1818" width="10.7109375" style="86" customWidth="1"/>
    <col min="1819" max="1819" width="11" style="86" customWidth="1"/>
    <col min="1820" max="1822" width="10.7109375" style="86" customWidth="1"/>
    <col min="1823" max="1823" width="8.7109375" style="86"/>
    <col min="1824" max="1825" width="7.5703125" style="86" customWidth="1"/>
    <col min="1826" max="2049" width="8.7109375" style="86"/>
    <col min="2050" max="2050" width="5.42578125" style="86" customWidth="1"/>
    <col min="2051" max="2051" width="31.140625" style="86" customWidth="1"/>
    <col min="2052" max="2068" width="7.5703125" style="86" customWidth="1"/>
    <col min="2069" max="2069" width="11" style="86" customWidth="1"/>
    <col min="2070" max="2072" width="7.5703125" style="86" customWidth="1"/>
    <col min="2073" max="2074" width="10.7109375" style="86" customWidth="1"/>
    <col min="2075" max="2075" width="11" style="86" customWidth="1"/>
    <col min="2076" max="2078" width="10.7109375" style="86" customWidth="1"/>
    <col min="2079" max="2079" width="8.7109375" style="86"/>
    <col min="2080" max="2081" width="7.5703125" style="86" customWidth="1"/>
    <col min="2082" max="2305" width="8.7109375" style="86"/>
    <col min="2306" max="2306" width="5.42578125" style="86" customWidth="1"/>
    <col min="2307" max="2307" width="31.140625" style="86" customWidth="1"/>
    <col min="2308" max="2324" width="7.5703125" style="86" customWidth="1"/>
    <col min="2325" max="2325" width="11" style="86" customWidth="1"/>
    <col min="2326" max="2328" width="7.5703125" style="86" customWidth="1"/>
    <col min="2329" max="2330" width="10.7109375" style="86" customWidth="1"/>
    <col min="2331" max="2331" width="11" style="86" customWidth="1"/>
    <col min="2332" max="2334" width="10.7109375" style="86" customWidth="1"/>
    <col min="2335" max="2335" width="8.7109375" style="86"/>
    <col min="2336" max="2337" width="7.5703125" style="86" customWidth="1"/>
    <col min="2338" max="2561" width="8.7109375" style="86"/>
    <col min="2562" max="2562" width="5.42578125" style="86" customWidth="1"/>
    <col min="2563" max="2563" width="31.140625" style="86" customWidth="1"/>
    <col min="2564" max="2580" width="7.5703125" style="86" customWidth="1"/>
    <col min="2581" max="2581" width="11" style="86" customWidth="1"/>
    <col min="2582" max="2584" width="7.5703125" style="86" customWidth="1"/>
    <col min="2585" max="2586" width="10.7109375" style="86" customWidth="1"/>
    <col min="2587" max="2587" width="11" style="86" customWidth="1"/>
    <col min="2588" max="2590" width="10.7109375" style="86" customWidth="1"/>
    <col min="2591" max="2591" width="8.7109375" style="86"/>
    <col min="2592" max="2593" width="7.5703125" style="86" customWidth="1"/>
    <col min="2594" max="2817" width="8.7109375" style="86"/>
    <col min="2818" max="2818" width="5.42578125" style="86" customWidth="1"/>
    <col min="2819" max="2819" width="31.140625" style="86" customWidth="1"/>
    <col min="2820" max="2836" width="7.5703125" style="86" customWidth="1"/>
    <col min="2837" max="2837" width="11" style="86" customWidth="1"/>
    <col min="2838" max="2840" width="7.5703125" style="86" customWidth="1"/>
    <col min="2841" max="2842" width="10.7109375" style="86" customWidth="1"/>
    <col min="2843" max="2843" width="11" style="86" customWidth="1"/>
    <col min="2844" max="2846" width="10.7109375" style="86" customWidth="1"/>
    <col min="2847" max="2847" width="8.7109375" style="86"/>
    <col min="2848" max="2849" width="7.5703125" style="86" customWidth="1"/>
    <col min="2850" max="3073" width="8.7109375" style="86"/>
    <col min="3074" max="3074" width="5.42578125" style="86" customWidth="1"/>
    <col min="3075" max="3075" width="31.140625" style="86" customWidth="1"/>
    <col min="3076" max="3092" width="7.5703125" style="86" customWidth="1"/>
    <col min="3093" max="3093" width="11" style="86" customWidth="1"/>
    <col min="3094" max="3096" width="7.5703125" style="86" customWidth="1"/>
    <col min="3097" max="3098" width="10.7109375" style="86" customWidth="1"/>
    <col min="3099" max="3099" width="11" style="86" customWidth="1"/>
    <col min="3100" max="3102" width="10.7109375" style="86" customWidth="1"/>
    <col min="3103" max="3103" width="8.7109375" style="86"/>
    <col min="3104" max="3105" width="7.5703125" style="86" customWidth="1"/>
    <col min="3106" max="3329" width="8.7109375" style="86"/>
    <col min="3330" max="3330" width="5.42578125" style="86" customWidth="1"/>
    <col min="3331" max="3331" width="31.140625" style="86" customWidth="1"/>
    <col min="3332" max="3348" width="7.5703125" style="86" customWidth="1"/>
    <col min="3349" max="3349" width="11" style="86" customWidth="1"/>
    <col min="3350" max="3352" width="7.5703125" style="86" customWidth="1"/>
    <col min="3353" max="3354" width="10.7109375" style="86" customWidth="1"/>
    <col min="3355" max="3355" width="11" style="86" customWidth="1"/>
    <col min="3356" max="3358" width="10.7109375" style="86" customWidth="1"/>
    <col min="3359" max="3359" width="8.7109375" style="86"/>
    <col min="3360" max="3361" width="7.5703125" style="86" customWidth="1"/>
    <col min="3362" max="3585" width="8.7109375" style="86"/>
    <col min="3586" max="3586" width="5.42578125" style="86" customWidth="1"/>
    <col min="3587" max="3587" width="31.140625" style="86" customWidth="1"/>
    <col min="3588" max="3604" width="7.5703125" style="86" customWidth="1"/>
    <col min="3605" max="3605" width="11" style="86" customWidth="1"/>
    <col min="3606" max="3608" width="7.5703125" style="86" customWidth="1"/>
    <col min="3609" max="3610" width="10.7109375" style="86" customWidth="1"/>
    <col min="3611" max="3611" width="11" style="86" customWidth="1"/>
    <col min="3612" max="3614" width="10.7109375" style="86" customWidth="1"/>
    <col min="3615" max="3615" width="8.7109375" style="86"/>
    <col min="3616" max="3617" width="7.5703125" style="86" customWidth="1"/>
    <col min="3618" max="3841" width="8.7109375" style="86"/>
    <col min="3842" max="3842" width="5.42578125" style="86" customWidth="1"/>
    <col min="3843" max="3843" width="31.140625" style="86" customWidth="1"/>
    <col min="3844" max="3860" width="7.5703125" style="86" customWidth="1"/>
    <col min="3861" max="3861" width="11" style="86" customWidth="1"/>
    <col min="3862" max="3864" width="7.5703125" style="86" customWidth="1"/>
    <col min="3865" max="3866" width="10.7109375" style="86" customWidth="1"/>
    <col min="3867" max="3867" width="11" style="86" customWidth="1"/>
    <col min="3868" max="3870" width="10.7109375" style="86" customWidth="1"/>
    <col min="3871" max="3871" width="8.7109375" style="86"/>
    <col min="3872" max="3873" width="7.5703125" style="86" customWidth="1"/>
    <col min="3874" max="4097" width="8.7109375" style="86"/>
    <col min="4098" max="4098" width="5.42578125" style="86" customWidth="1"/>
    <col min="4099" max="4099" width="31.140625" style="86" customWidth="1"/>
    <col min="4100" max="4116" width="7.5703125" style="86" customWidth="1"/>
    <col min="4117" max="4117" width="11" style="86" customWidth="1"/>
    <col min="4118" max="4120" width="7.5703125" style="86" customWidth="1"/>
    <col min="4121" max="4122" width="10.7109375" style="86" customWidth="1"/>
    <col min="4123" max="4123" width="11" style="86" customWidth="1"/>
    <col min="4124" max="4126" width="10.7109375" style="86" customWidth="1"/>
    <col min="4127" max="4127" width="8.7109375" style="86"/>
    <col min="4128" max="4129" width="7.5703125" style="86" customWidth="1"/>
    <col min="4130" max="4353" width="8.7109375" style="86"/>
    <col min="4354" max="4354" width="5.42578125" style="86" customWidth="1"/>
    <col min="4355" max="4355" width="31.140625" style="86" customWidth="1"/>
    <col min="4356" max="4372" width="7.5703125" style="86" customWidth="1"/>
    <col min="4373" max="4373" width="11" style="86" customWidth="1"/>
    <col min="4374" max="4376" width="7.5703125" style="86" customWidth="1"/>
    <col min="4377" max="4378" width="10.7109375" style="86" customWidth="1"/>
    <col min="4379" max="4379" width="11" style="86" customWidth="1"/>
    <col min="4380" max="4382" width="10.7109375" style="86" customWidth="1"/>
    <col min="4383" max="4383" width="8.7109375" style="86"/>
    <col min="4384" max="4385" width="7.5703125" style="86" customWidth="1"/>
    <col min="4386" max="4609" width="8.7109375" style="86"/>
    <col min="4610" max="4610" width="5.42578125" style="86" customWidth="1"/>
    <col min="4611" max="4611" width="31.140625" style="86" customWidth="1"/>
    <col min="4612" max="4628" width="7.5703125" style="86" customWidth="1"/>
    <col min="4629" max="4629" width="11" style="86" customWidth="1"/>
    <col min="4630" max="4632" width="7.5703125" style="86" customWidth="1"/>
    <col min="4633" max="4634" width="10.7109375" style="86" customWidth="1"/>
    <col min="4635" max="4635" width="11" style="86" customWidth="1"/>
    <col min="4636" max="4638" width="10.7109375" style="86" customWidth="1"/>
    <col min="4639" max="4639" width="8.7109375" style="86"/>
    <col min="4640" max="4641" width="7.5703125" style="86" customWidth="1"/>
    <col min="4642" max="4865" width="8.7109375" style="86"/>
    <col min="4866" max="4866" width="5.42578125" style="86" customWidth="1"/>
    <col min="4867" max="4867" width="31.140625" style="86" customWidth="1"/>
    <col min="4868" max="4884" width="7.5703125" style="86" customWidth="1"/>
    <col min="4885" max="4885" width="11" style="86" customWidth="1"/>
    <col min="4886" max="4888" width="7.5703125" style="86" customWidth="1"/>
    <col min="4889" max="4890" width="10.7109375" style="86" customWidth="1"/>
    <col min="4891" max="4891" width="11" style="86" customWidth="1"/>
    <col min="4892" max="4894" width="10.7109375" style="86" customWidth="1"/>
    <col min="4895" max="4895" width="8.7109375" style="86"/>
    <col min="4896" max="4897" width="7.5703125" style="86" customWidth="1"/>
    <col min="4898" max="5121" width="8.7109375" style="86"/>
    <col min="5122" max="5122" width="5.42578125" style="86" customWidth="1"/>
    <col min="5123" max="5123" width="31.140625" style="86" customWidth="1"/>
    <col min="5124" max="5140" width="7.5703125" style="86" customWidth="1"/>
    <col min="5141" max="5141" width="11" style="86" customWidth="1"/>
    <col min="5142" max="5144" width="7.5703125" style="86" customWidth="1"/>
    <col min="5145" max="5146" width="10.7109375" style="86" customWidth="1"/>
    <col min="5147" max="5147" width="11" style="86" customWidth="1"/>
    <col min="5148" max="5150" width="10.7109375" style="86" customWidth="1"/>
    <col min="5151" max="5151" width="8.7109375" style="86"/>
    <col min="5152" max="5153" width="7.5703125" style="86" customWidth="1"/>
    <col min="5154" max="5377" width="8.7109375" style="86"/>
    <col min="5378" max="5378" width="5.42578125" style="86" customWidth="1"/>
    <col min="5379" max="5379" width="31.140625" style="86" customWidth="1"/>
    <col min="5380" max="5396" width="7.5703125" style="86" customWidth="1"/>
    <col min="5397" max="5397" width="11" style="86" customWidth="1"/>
    <col min="5398" max="5400" width="7.5703125" style="86" customWidth="1"/>
    <col min="5401" max="5402" width="10.7109375" style="86" customWidth="1"/>
    <col min="5403" max="5403" width="11" style="86" customWidth="1"/>
    <col min="5404" max="5406" width="10.7109375" style="86" customWidth="1"/>
    <col min="5407" max="5407" width="8.7109375" style="86"/>
    <col min="5408" max="5409" width="7.5703125" style="86" customWidth="1"/>
    <col min="5410" max="5633" width="8.7109375" style="86"/>
    <col min="5634" max="5634" width="5.42578125" style="86" customWidth="1"/>
    <col min="5635" max="5635" width="31.140625" style="86" customWidth="1"/>
    <col min="5636" max="5652" width="7.5703125" style="86" customWidth="1"/>
    <col min="5653" max="5653" width="11" style="86" customWidth="1"/>
    <col min="5654" max="5656" width="7.5703125" style="86" customWidth="1"/>
    <col min="5657" max="5658" width="10.7109375" style="86" customWidth="1"/>
    <col min="5659" max="5659" width="11" style="86" customWidth="1"/>
    <col min="5660" max="5662" width="10.7109375" style="86" customWidth="1"/>
    <col min="5663" max="5663" width="8.7109375" style="86"/>
    <col min="5664" max="5665" width="7.5703125" style="86" customWidth="1"/>
    <col min="5666" max="5889" width="8.7109375" style="86"/>
    <col min="5890" max="5890" width="5.42578125" style="86" customWidth="1"/>
    <col min="5891" max="5891" width="31.140625" style="86" customWidth="1"/>
    <col min="5892" max="5908" width="7.5703125" style="86" customWidth="1"/>
    <col min="5909" max="5909" width="11" style="86" customWidth="1"/>
    <col min="5910" max="5912" width="7.5703125" style="86" customWidth="1"/>
    <col min="5913" max="5914" width="10.7109375" style="86" customWidth="1"/>
    <col min="5915" max="5915" width="11" style="86" customWidth="1"/>
    <col min="5916" max="5918" width="10.7109375" style="86" customWidth="1"/>
    <col min="5919" max="5919" width="8.7109375" style="86"/>
    <col min="5920" max="5921" width="7.5703125" style="86" customWidth="1"/>
    <col min="5922" max="6145" width="8.7109375" style="86"/>
    <col min="6146" max="6146" width="5.42578125" style="86" customWidth="1"/>
    <col min="6147" max="6147" width="31.140625" style="86" customWidth="1"/>
    <col min="6148" max="6164" width="7.5703125" style="86" customWidth="1"/>
    <col min="6165" max="6165" width="11" style="86" customWidth="1"/>
    <col min="6166" max="6168" width="7.5703125" style="86" customWidth="1"/>
    <col min="6169" max="6170" width="10.7109375" style="86" customWidth="1"/>
    <col min="6171" max="6171" width="11" style="86" customWidth="1"/>
    <col min="6172" max="6174" width="10.7109375" style="86" customWidth="1"/>
    <col min="6175" max="6175" width="8.7109375" style="86"/>
    <col min="6176" max="6177" width="7.5703125" style="86" customWidth="1"/>
    <col min="6178" max="6401" width="8.7109375" style="86"/>
    <col min="6402" max="6402" width="5.42578125" style="86" customWidth="1"/>
    <col min="6403" max="6403" width="31.140625" style="86" customWidth="1"/>
    <col min="6404" max="6420" width="7.5703125" style="86" customWidth="1"/>
    <col min="6421" max="6421" width="11" style="86" customWidth="1"/>
    <col min="6422" max="6424" width="7.5703125" style="86" customWidth="1"/>
    <col min="6425" max="6426" width="10.7109375" style="86" customWidth="1"/>
    <col min="6427" max="6427" width="11" style="86" customWidth="1"/>
    <col min="6428" max="6430" width="10.7109375" style="86" customWidth="1"/>
    <col min="6431" max="6431" width="8.7109375" style="86"/>
    <col min="6432" max="6433" width="7.5703125" style="86" customWidth="1"/>
    <col min="6434" max="6657" width="8.7109375" style="86"/>
    <col min="6658" max="6658" width="5.42578125" style="86" customWidth="1"/>
    <col min="6659" max="6659" width="31.140625" style="86" customWidth="1"/>
    <col min="6660" max="6676" width="7.5703125" style="86" customWidth="1"/>
    <col min="6677" max="6677" width="11" style="86" customWidth="1"/>
    <col min="6678" max="6680" width="7.5703125" style="86" customWidth="1"/>
    <col min="6681" max="6682" width="10.7109375" style="86" customWidth="1"/>
    <col min="6683" max="6683" width="11" style="86" customWidth="1"/>
    <col min="6684" max="6686" width="10.7109375" style="86" customWidth="1"/>
    <col min="6687" max="6687" width="8.7109375" style="86"/>
    <col min="6688" max="6689" width="7.5703125" style="86" customWidth="1"/>
    <col min="6690" max="6913" width="8.7109375" style="86"/>
    <col min="6914" max="6914" width="5.42578125" style="86" customWidth="1"/>
    <col min="6915" max="6915" width="31.140625" style="86" customWidth="1"/>
    <col min="6916" max="6932" width="7.5703125" style="86" customWidth="1"/>
    <col min="6933" max="6933" width="11" style="86" customWidth="1"/>
    <col min="6934" max="6936" width="7.5703125" style="86" customWidth="1"/>
    <col min="6937" max="6938" width="10.7109375" style="86" customWidth="1"/>
    <col min="6939" max="6939" width="11" style="86" customWidth="1"/>
    <col min="6940" max="6942" width="10.7109375" style="86" customWidth="1"/>
    <col min="6943" max="6943" width="8.7109375" style="86"/>
    <col min="6944" max="6945" width="7.5703125" style="86" customWidth="1"/>
    <col min="6946" max="7169" width="8.7109375" style="86"/>
    <col min="7170" max="7170" width="5.42578125" style="86" customWidth="1"/>
    <col min="7171" max="7171" width="31.140625" style="86" customWidth="1"/>
    <col min="7172" max="7188" width="7.5703125" style="86" customWidth="1"/>
    <col min="7189" max="7189" width="11" style="86" customWidth="1"/>
    <col min="7190" max="7192" width="7.5703125" style="86" customWidth="1"/>
    <col min="7193" max="7194" width="10.7109375" style="86" customWidth="1"/>
    <col min="7195" max="7195" width="11" style="86" customWidth="1"/>
    <col min="7196" max="7198" width="10.7109375" style="86" customWidth="1"/>
    <col min="7199" max="7199" width="8.7109375" style="86"/>
    <col min="7200" max="7201" width="7.5703125" style="86" customWidth="1"/>
    <col min="7202" max="7425" width="8.7109375" style="86"/>
    <col min="7426" max="7426" width="5.42578125" style="86" customWidth="1"/>
    <col min="7427" max="7427" width="31.140625" style="86" customWidth="1"/>
    <col min="7428" max="7444" width="7.5703125" style="86" customWidth="1"/>
    <col min="7445" max="7445" width="11" style="86" customWidth="1"/>
    <col min="7446" max="7448" width="7.5703125" style="86" customWidth="1"/>
    <col min="7449" max="7450" width="10.7109375" style="86" customWidth="1"/>
    <col min="7451" max="7451" width="11" style="86" customWidth="1"/>
    <col min="7452" max="7454" width="10.7109375" style="86" customWidth="1"/>
    <col min="7455" max="7455" width="8.7109375" style="86"/>
    <col min="7456" max="7457" width="7.5703125" style="86" customWidth="1"/>
    <col min="7458" max="7681" width="8.7109375" style="86"/>
    <col min="7682" max="7682" width="5.42578125" style="86" customWidth="1"/>
    <col min="7683" max="7683" width="31.140625" style="86" customWidth="1"/>
    <col min="7684" max="7700" width="7.5703125" style="86" customWidth="1"/>
    <col min="7701" max="7701" width="11" style="86" customWidth="1"/>
    <col min="7702" max="7704" width="7.5703125" style="86" customWidth="1"/>
    <col min="7705" max="7706" width="10.7109375" style="86" customWidth="1"/>
    <col min="7707" max="7707" width="11" style="86" customWidth="1"/>
    <col min="7708" max="7710" width="10.7109375" style="86" customWidth="1"/>
    <col min="7711" max="7711" width="8.7109375" style="86"/>
    <col min="7712" max="7713" width="7.5703125" style="86" customWidth="1"/>
    <col min="7714" max="7937" width="8.7109375" style="86"/>
    <col min="7938" max="7938" width="5.42578125" style="86" customWidth="1"/>
    <col min="7939" max="7939" width="31.140625" style="86" customWidth="1"/>
    <col min="7940" max="7956" width="7.5703125" style="86" customWidth="1"/>
    <col min="7957" max="7957" width="11" style="86" customWidth="1"/>
    <col min="7958" max="7960" width="7.5703125" style="86" customWidth="1"/>
    <col min="7961" max="7962" width="10.7109375" style="86" customWidth="1"/>
    <col min="7963" max="7963" width="11" style="86" customWidth="1"/>
    <col min="7964" max="7966" width="10.7109375" style="86" customWidth="1"/>
    <col min="7967" max="7967" width="8.7109375" style="86"/>
    <col min="7968" max="7969" width="7.5703125" style="86" customWidth="1"/>
    <col min="7970" max="8193" width="8.7109375" style="86"/>
    <col min="8194" max="8194" width="5.42578125" style="86" customWidth="1"/>
    <col min="8195" max="8195" width="31.140625" style="86" customWidth="1"/>
    <col min="8196" max="8212" width="7.5703125" style="86" customWidth="1"/>
    <col min="8213" max="8213" width="11" style="86" customWidth="1"/>
    <col min="8214" max="8216" width="7.5703125" style="86" customWidth="1"/>
    <col min="8217" max="8218" width="10.7109375" style="86" customWidth="1"/>
    <col min="8219" max="8219" width="11" style="86" customWidth="1"/>
    <col min="8220" max="8222" width="10.7109375" style="86" customWidth="1"/>
    <col min="8223" max="8223" width="8.7109375" style="86"/>
    <col min="8224" max="8225" width="7.5703125" style="86" customWidth="1"/>
    <col min="8226" max="8449" width="8.7109375" style="86"/>
    <col min="8450" max="8450" width="5.42578125" style="86" customWidth="1"/>
    <col min="8451" max="8451" width="31.140625" style="86" customWidth="1"/>
    <col min="8452" max="8468" width="7.5703125" style="86" customWidth="1"/>
    <col min="8469" max="8469" width="11" style="86" customWidth="1"/>
    <col min="8470" max="8472" width="7.5703125" style="86" customWidth="1"/>
    <col min="8473" max="8474" width="10.7109375" style="86" customWidth="1"/>
    <col min="8475" max="8475" width="11" style="86" customWidth="1"/>
    <col min="8476" max="8478" width="10.7109375" style="86" customWidth="1"/>
    <col min="8479" max="8479" width="8.7109375" style="86"/>
    <col min="8480" max="8481" width="7.5703125" style="86" customWidth="1"/>
    <col min="8482" max="8705" width="8.7109375" style="86"/>
    <col min="8706" max="8706" width="5.42578125" style="86" customWidth="1"/>
    <col min="8707" max="8707" width="31.140625" style="86" customWidth="1"/>
    <col min="8708" max="8724" width="7.5703125" style="86" customWidth="1"/>
    <col min="8725" max="8725" width="11" style="86" customWidth="1"/>
    <col min="8726" max="8728" width="7.5703125" style="86" customWidth="1"/>
    <col min="8729" max="8730" width="10.7109375" style="86" customWidth="1"/>
    <col min="8731" max="8731" width="11" style="86" customWidth="1"/>
    <col min="8732" max="8734" width="10.7109375" style="86" customWidth="1"/>
    <col min="8735" max="8735" width="8.7109375" style="86"/>
    <col min="8736" max="8737" width="7.5703125" style="86" customWidth="1"/>
    <col min="8738" max="8961" width="8.7109375" style="86"/>
    <col min="8962" max="8962" width="5.42578125" style="86" customWidth="1"/>
    <col min="8963" max="8963" width="31.140625" style="86" customWidth="1"/>
    <col min="8964" max="8980" width="7.5703125" style="86" customWidth="1"/>
    <col min="8981" max="8981" width="11" style="86" customWidth="1"/>
    <col min="8982" max="8984" width="7.5703125" style="86" customWidth="1"/>
    <col min="8985" max="8986" width="10.7109375" style="86" customWidth="1"/>
    <col min="8987" max="8987" width="11" style="86" customWidth="1"/>
    <col min="8988" max="8990" width="10.7109375" style="86" customWidth="1"/>
    <col min="8991" max="8991" width="8.7109375" style="86"/>
    <col min="8992" max="8993" width="7.5703125" style="86" customWidth="1"/>
    <col min="8994" max="9217" width="8.7109375" style="86"/>
    <col min="9218" max="9218" width="5.42578125" style="86" customWidth="1"/>
    <col min="9219" max="9219" width="31.140625" style="86" customWidth="1"/>
    <col min="9220" max="9236" width="7.5703125" style="86" customWidth="1"/>
    <col min="9237" max="9237" width="11" style="86" customWidth="1"/>
    <col min="9238" max="9240" width="7.5703125" style="86" customWidth="1"/>
    <col min="9241" max="9242" width="10.7109375" style="86" customWidth="1"/>
    <col min="9243" max="9243" width="11" style="86" customWidth="1"/>
    <col min="9244" max="9246" width="10.7109375" style="86" customWidth="1"/>
    <col min="9247" max="9247" width="8.7109375" style="86"/>
    <col min="9248" max="9249" width="7.5703125" style="86" customWidth="1"/>
    <col min="9250" max="9473" width="8.7109375" style="86"/>
    <col min="9474" max="9474" width="5.42578125" style="86" customWidth="1"/>
    <col min="9475" max="9475" width="31.140625" style="86" customWidth="1"/>
    <col min="9476" max="9492" width="7.5703125" style="86" customWidth="1"/>
    <col min="9493" max="9493" width="11" style="86" customWidth="1"/>
    <col min="9494" max="9496" width="7.5703125" style="86" customWidth="1"/>
    <col min="9497" max="9498" width="10.7109375" style="86" customWidth="1"/>
    <col min="9499" max="9499" width="11" style="86" customWidth="1"/>
    <col min="9500" max="9502" width="10.7109375" style="86" customWidth="1"/>
    <col min="9503" max="9503" width="8.7109375" style="86"/>
    <col min="9504" max="9505" width="7.5703125" style="86" customWidth="1"/>
    <col min="9506" max="9729" width="8.7109375" style="86"/>
    <col min="9730" max="9730" width="5.42578125" style="86" customWidth="1"/>
    <col min="9731" max="9731" width="31.140625" style="86" customWidth="1"/>
    <col min="9732" max="9748" width="7.5703125" style="86" customWidth="1"/>
    <col min="9749" max="9749" width="11" style="86" customWidth="1"/>
    <col min="9750" max="9752" width="7.5703125" style="86" customWidth="1"/>
    <col min="9753" max="9754" width="10.7109375" style="86" customWidth="1"/>
    <col min="9755" max="9755" width="11" style="86" customWidth="1"/>
    <col min="9756" max="9758" width="10.7109375" style="86" customWidth="1"/>
    <col min="9759" max="9759" width="8.7109375" style="86"/>
    <col min="9760" max="9761" width="7.5703125" style="86" customWidth="1"/>
    <col min="9762" max="9985" width="8.7109375" style="86"/>
    <col min="9986" max="9986" width="5.42578125" style="86" customWidth="1"/>
    <col min="9987" max="9987" width="31.140625" style="86" customWidth="1"/>
    <col min="9988" max="10004" width="7.5703125" style="86" customWidth="1"/>
    <col min="10005" max="10005" width="11" style="86" customWidth="1"/>
    <col min="10006" max="10008" width="7.5703125" style="86" customWidth="1"/>
    <col min="10009" max="10010" width="10.7109375" style="86" customWidth="1"/>
    <col min="10011" max="10011" width="11" style="86" customWidth="1"/>
    <col min="10012" max="10014" width="10.7109375" style="86" customWidth="1"/>
    <col min="10015" max="10015" width="8.7109375" style="86"/>
    <col min="10016" max="10017" width="7.5703125" style="86" customWidth="1"/>
    <col min="10018" max="10241" width="8.7109375" style="86"/>
    <col min="10242" max="10242" width="5.42578125" style="86" customWidth="1"/>
    <col min="10243" max="10243" width="31.140625" style="86" customWidth="1"/>
    <col min="10244" max="10260" width="7.5703125" style="86" customWidth="1"/>
    <col min="10261" max="10261" width="11" style="86" customWidth="1"/>
    <col min="10262" max="10264" width="7.5703125" style="86" customWidth="1"/>
    <col min="10265" max="10266" width="10.7109375" style="86" customWidth="1"/>
    <col min="10267" max="10267" width="11" style="86" customWidth="1"/>
    <col min="10268" max="10270" width="10.7109375" style="86" customWidth="1"/>
    <col min="10271" max="10271" width="8.7109375" style="86"/>
    <col min="10272" max="10273" width="7.5703125" style="86" customWidth="1"/>
    <col min="10274" max="10497" width="8.7109375" style="86"/>
    <col min="10498" max="10498" width="5.42578125" style="86" customWidth="1"/>
    <col min="10499" max="10499" width="31.140625" style="86" customWidth="1"/>
    <col min="10500" max="10516" width="7.5703125" style="86" customWidth="1"/>
    <col min="10517" max="10517" width="11" style="86" customWidth="1"/>
    <col min="10518" max="10520" width="7.5703125" style="86" customWidth="1"/>
    <col min="10521" max="10522" width="10.7109375" style="86" customWidth="1"/>
    <col min="10523" max="10523" width="11" style="86" customWidth="1"/>
    <col min="10524" max="10526" width="10.7109375" style="86" customWidth="1"/>
    <col min="10527" max="10527" width="8.7109375" style="86"/>
    <col min="10528" max="10529" width="7.5703125" style="86" customWidth="1"/>
    <col min="10530" max="10753" width="8.7109375" style="86"/>
    <col min="10754" max="10754" width="5.42578125" style="86" customWidth="1"/>
    <col min="10755" max="10755" width="31.140625" style="86" customWidth="1"/>
    <col min="10756" max="10772" width="7.5703125" style="86" customWidth="1"/>
    <col min="10773" max="10773" width="11" style="86" customWidth="1"/>
    <col min="10774" max="10776" width="7.5703125" style="86" customWidth="1"/>
    <col min="10777" max="10778" width="10.7109375" style="86" customWidth="1"/>
    <col min="10779" max="10779" width="11" style="86" customWidth="1"/>
    <col min="10780" max="10782" width="10.7109375" style="86" customWidth="1"/>
    <col min="10783" max="10783" width="8.7109375" style="86"/>
    <col min="10784" max="10785" width="7.5703125" style="86" customWidth="1"/>
    <col min="10786" max="11009" width="8.7109375" style="86"/>
    <col min="11010" max="11010" width="5.42578125" style="86" customWidth="1"/>
    <col min="11011" max="11011" width="31.140625" style="86" customWidth="1"/>
    <col min="11012" max="11028" width="7.5703125" style="86" customWidth="1"/>
    <col min="11029" max="11029" width="11" style="86" customWidth="1"/>
    <col min="11030" max="11032" width="7.5703125" style="86" customWidth="1"/>
    <col min="11033" max="11034" width="10.7109375" style="86" customWidth="1"/>
    <col min="11035" max="11035" width="11" style="86" customWidth="1"/>
    <col min="11036" max="11038" width="10.7109375" style="86" customWidth="1"/>
    <col min="11039" max="11039" width="8.7109375" style="86"/>
    <col min="11040" max="11041" width="7.5703125" style="86" customWidth="1"/>
    <col min="11042" max="11265" width="8.7109375" style="86"/>
    <col min="11266" max="11266" width="5.42578125" style="86" customWidth="1"/>
    <col min="11267" max="11267" width="31.140625" style="86" customWidth="1"/>
    <col min="11268" max="11284" width="7.5703125" style="86" customWidth="1"/>
    <col min="11285" max="11285" width="11" style="86" customWidth="1"/>
    <col min="11286" max="11288" width="7.5703125" style="86" customWidth="1"/>
    <col min="11289" max="11290" width="10.7109375" style="86" customWidth="1"/>
    <col min="11291" max="11291" width="11" style="86" customWidth="1"/>
    <col min="11292" max="11294" width="10.7109375" style="86" customWidth="1"/>
    <col min="11295" max="11295" width="8.7109375" style="86"/>
    <col min="11296" max="11297" width="7.5703125" style="86" customWidth="1"/>
    <col min="11298" max="11521" width="8.7109375" style="86"/>
    <col min="11522" max="11522" width="5.42578125" style="86" customWidth="1"/>
    <col min="11523" max="11523" width="31.140625" style="86" customWidth="1"/>
    <col min="11524" max="11540" width="7.5703125" style="86" customWidth="1"/>
    <col min="11541" max="11541" width="11" style="86" customWidth="1"/>
    <col min="11542" max="11544" width="7.5703125" style="86" customWidth="1"/>
    <col min="11545" max="11546" width="10.7109375" style="86" customWidth="1"/>
    <col min="11547" max="11547" width="11" style="86" customWidth="1"/>
    <col min="11548" max="11550" width="10.7109375" style="86" customWidth="1"/>
    <col min="11551" max="11551" width="8.7109375" style="86"/>
    <col min="11552" max="11553" width="7.5703125" style="86" customWidth="1"/>
    <col min="11554" max="11777" width="8.7109375" style="86"/>
    <col min="11778" max="11778" width="5.42578125" style="86" customWidth="1"/>
    <col min="11779" max="11779" width="31.140625" style="86" customWidth="1"/>
    <col min="11780" max="11796" width="7.5703125" style="86" customWidth="1"/>
    <col min="11797" max="11797" width="11" style="86" customWidth="1"/>
    <col min="11798" max="11800" width="7.5703125" style="86" customWidth="1"/>
    <col min="11801" max="11802" width="10.7109375" style="86" customWidth="1"/>
    <col min="11803" max="11803" width="11" style="86" customWidth="1"/>
    <col min="11804" max="11806" width="10.7109375" style="86" customWidth="1"/>
    <col min="11807" max="11807" width="8.7109375" style="86"/>
    <col min="11808" max="11809" width="7.5703125" style="86" customWidth="1"/>
    <col min="11810" max="12033" width="8.7109375" style="86"/>
    <col min="12034" max="12034" width="5.42578125" style="86" customWidth="1"/>
    <col min="12035" max="12035" width="31.140625" style="86" customWidth="1"/>
    <col min="12036" max="12052" width="7.5703125" style="86" customWidth="1"/>
    <col min="12053" max="12053" width="11" style="86" customWidth="1"/>
    <col min="12054" max="12056" width="7.5703125" style="86" customWidth="1"/>
    <col min="12057" max="12058" width="10.7109375" style="86" customWidth="1"/>
    <col min="12059" max="12059" width="11" style="86" customWidth="1"/>
    <col min="12060" max="12062" width="10.7109375" style="86" customWidth="1"/>
    <col min="12063" max="12063" width="8.7109375" style="86"/>
    <col min="12064" max="12065" width="7.5703125" style="86" customWidth="1"/>
    <col min="12066" max="12289" width="8.7109375" style="86"/>
    <col min="12290" max="12290" width="5.42578125" style="86" customWidth="1"/>
    <col min="12291" max="12291" width="31.140625" style="86" customWidth="1"/>
    <col min="12292" max="12308" width="7.5703125" style="86" customWidth="1"/>
    <col min="12309" max="12309" width="11" style="86" customWidth="1"/>
    <col min="12310" max="12312" width="7.5703125" style="86" customWidth="1"/>
    <col min="12313" max="12314" width="10.7109375" style="86" customWidth="1"/>
    <col min="12315" max="12315" width="11" style="86" customWidth="1"/>
    <col min="12316" max="12318" width="10.7109375" style="86" customWidth="1"/>
    <col min="12319" max="12319" width="8.7109375" style="86"/>
    <col min="12320" max="12321" width="7.5703125" style="86" customWidth="1"/>
    <col min="12322" max="12545" width="8.7109375" style="86"/>
    <col min="12546" max="12546" width="5.42578125" style="86" customWidth="1"/>
    <col min="12547" max="12547" width="31.140625" style="86" customWidth="1"/>
    <col min="12548" max="12564" width="7.5703125" style="86" customWidth="1"/>
    <col min="12565" max="12565" width="11" style="86" customWidth="1"/>
    <col min="12566" max="12568" width="7.5703125" style="86" customWidth="1"/>
    <col min="12569" max="12570" width="10.7109375" style="86" customWidth="1"/>
    <col min="12571" max="12571" width="11" style="86" customWidth="1"/>
    <col min="12572" max="12574" width="10.7109375" style="86" customWidth="1"/>
    <col min="12575" max="12575" width="8.7109375" style="86"/>
    <col min="12576" max="12577" width="7.5703125" style="86" customWidth="1"/>
    <col min="12578" max="12801" width="8.7109375" style="86"/>
    <col min="12802" max="12802" width="5.42578125" style="86" customWidth="1"/>
    <col min="12803" max="12803" width="31.140625" style="86" customWidth="1"/>
    <col min="12804" max="12820" width="7.5703125" style="86" customWidth="1"/>
    <col min="12821" max="12821" width="11" style="86" customWidth="1"/>
    <col min="12822" max="12824" width="7.5703125" style="86" customWidth="1"/>
    <col min="12825" max="12826" width="10.7109375" style="86" customWidth="1"/>
    <col min="12827" max="12827" width="11" style="86" customWidth="1"/>
    <col min="12828" max="12830" width="10.7109375" style="86" customWidth="1"/>
    <col min="12831" max="12831" width="8.7109375" style="86"/>
    <col min="12832" max="12833" width="7.5703125" style="86" customWidth="1"/>
    <col min="12834" max="13057" width="8.7109375" style="86"/>
    <col min="13058" max="13058" width="5.42578125" style="86" customWidth="1"/>
    <col min="13059" max="13059" width="31.140625" style="86" customWidth="1"/>
    <col min="13060" max="13076" width="7.5703125" style="86" customWidth="1"/>
    <col min="13077" max="13077" width="11" style="86" customWidth="1"/>
    <col min="13078" max="13080" width="7.5703125" style="86" customWidth="1"/>
    <col min="13081" max="13082" width="10.7109375" style="86" customWidth="1"/>
    <col min="13083" max="13083" width="11" style="86" customWidth="1"/>
    <col min="13084" max="13086" width="10.7109375" style="86" customWidth="1"/>
    <col min="13087" max="13087" width="8.7109375" style="86"/>
    <col min="13088" max="13089" width="7.5703125" style="86" customWidth="1"/>
    <col min="13090" max="13313" width="8.7109375" style="86"/>
    <col min="13314" max="13314" width="5.42578125" style="86" customWidth="1"/>
    <col min="13315" max="13315" width="31.140625" style="86" customWidth="1"/>
    <col min="13316" max="13332" width="7.5703125" style="86" customWidth="1"/>
    <col min="13333" max="13333" width="11" style="86" customWidth="1"/>
    <col min="13334" max="13336" width="7.5703125" style="86" customWidth="1"/>
    <col min="13337" max="13338" width="10.7109375" style="86" customWidth="1"/>
    <col min="13339" max="13339" width="11" style="86" customWidth="1"/>
    <col min="13340" max="13342" width="10.7109375" style="86" customWidth="1"/>
    <col min="13343" max="13343" width="8.7109375" style="86"/>
    <col min="13344" max="13345" width="7.5703125" style="86" customWidth="1"/>
    <col min="13346" max="13569" width="8.7109375" style="86"/>
    <col min="13570" max="13570" width="5.42578125" style="86" customWidth="1"/>
    <col min="13571" max="13571" width="31.140625" style="86" customWidth="1"/>
    <col min="13572" max="13588" width="7.5703125" style="86" customWidth="1"/>
    <col min="13589" max="13589" width="11" style="86" customWidth="1"/>
    <col min="13590" max="13592" width="7.5703125" style="86" customWidth="1"/>
    <col min="13593" max="13594" width="10.7109375" style="86" customWidth="1"/>
    <col min="13595" max="13595" width="11" style="86" customWidth="1"/>
    <col min="13596" max="13598" width="10.7109375" style="86" customWidth="1"/>
    <col min="13599" max="13599" width="8.7109375" style="86"/>
    <col min="13600" max="13601" width="7.5703125" style="86" customWidth="1"/>
    <col min="13602" max="13825" width="8.7109375" style="86"/>
    <col min="13826" max="13826" width="5.42578125" style="86" customWidth="1"/>
    <col min="13827" max="13827" width="31.140625" style="86" customWidth="1"/>
    <col min="13828" max="13844" width="7.5703125" style="86" customWidth="1"/>
    <col min="13845" max="13845" width="11" style="86" customWidth="1"/>
    <col min="13846" max="13848" width="7.5703125" style="86" customWidth="1"/>
    <col min="13849" max="13850" width="10.7109375" style="86" customWidth="1"/>
    <col min="13851" max="13851" width="11" style="86" customWidth="1"/>
    <col min="13852" max="13854" width="10.7109375" style="86" customWidth="1"/>
    <col min="13855" max="13855" width="8.7109375" style="86"/>
    <col min="13856" max="13857" width="7.5703125" style="86" customWidth="1"/>
    <col min="13858" max="14081" width="8.7109375" style="86"/>
    <col min="14082" max="14082" width="5.42578125" style="86" customWidth="1"/>
    <col min="14083" max="14083" width="31.140625" style="86" customWidth="1"/>
    <col min="14084" max="14100" width="7.5703125" style="86" customWidth="1"/>
    <col min="14101" max="14101" width="11" style="86" customWidth="1"/>
    <col min="14102" max="14104" width="7.5703125" style="86" customWidth="1"/>
    <col min="14105" max="14106" width="10.7109375" style="86" customWidth="1"/>
    <col min="14107" max="14107" width="11" style="86" customWidth="1"/>
    <col min="14108" max="14110" width="10.7109375" style="86" customWidth="1"/>
    <col min="14111" max="14111" width="8.7109375" style="86"/>
    <col min="14112" max="14113" width="7.5703125" style="86" customWidth="1"/>
    <col min="14114" max="14337" width="8.7109375" style="86"/>
    <col min="14338" max="14338" width="5.42578125" style="86" customWidth="1"/>
    <col min="14339" max="14339" width="31.140625" style="86" customWidth="1"/>
    <col min="14340" max="14356" width="7.5703125" style="86" customWidth="1"/>
    <col min="14357" max="14357" width="11" style="86" customWidth="1"/>
    <col min="14358" max="14360" width="7.5703125" style="86" customWidth="1"/>
    <col min="14361" max="14362" width="10.7109375" style="86" customWidth="1"/>
    <col min="14363" max="14363" width="11" style="86" customWidth="1"/>
    <col min="14364" max="14366" width="10.7109375" style="86" customWidth="1"/>
    <col min="14367" max="14367" width="8.7109375" style="86"/>
    <col min="14368" max="14369" width="7.5703125" style="86" customWidth="1"/>
    <col min="14370" max="14593" width="8.7109375" style="86"/>
    <col min="14594" max="14594" width="5.42578125" style="86" customWidth="1"/>
    <col min="14595" max="14595" width="31.140625" style="86" customWidth="1"/>
    <col min="14596" max="14612" width="7.5703125" style="86" customWidth="1"/>
    <col min="14613" max="14613" width="11" style="86" customWidth="1"/>
    <col min="14614" max="14616" width="7.5703125" style="86" customWidth="1"/>
    <col min="14617" max="14618" width="10.7109375" style="86" customWidth="1"/>
    <col min="14619" max="14619" width="11" style="86" customWidth="1"/>
    <col min="14620" max="14622" width="10.7109375" style="86" customWidth="1"/>
    <col min="14623" max="14623" width="8.7109375" style="86"/>
    <col min="14624" max="14625" width="7.5703125" style="86" customWidth="1"/>
    <col min="14626" max="14849" width="8.7109375" style="86"/>
    <col min="14850" max="14850" width="5.42578125" style="86" customWidth="1"/>
    <col min="14851" max="14851" width="31.140625" style="86" customWidth="1"/>
    <col min="14852" max="14868" width="7.5703125" style="86" customWidth="1"/>
    <col min="14869" max="14869" width="11" style="86" customWidth="1"/>
    <col min="14870" max="14872" width="7.5703125" style="86" customWidth="1"/>
    <col min="14873" max="14874" width="10.7109375" style="86" customWidth="1"/>
    <col min="14875" max="14875" width="11" style="86" customWidth="1"/>
    <col min="14876" max="14878" width="10.7109375" style="86" customWidth="1"/>
    <col min="14879" max="14879" width="8.7109375" style="86"/>
    <col min="14880" max="14881" width="7.5703125" style="86" customWidth="1"/>
    <col min="14882" max="15105" width="8.7109375" style="86"/>
    <col min="15106" max="15106" width="5.42578125" style="86" customWidth="1"/>
    <col min="15107" max="15107" width="31.140625" style="86" customWidth="1"/>
    <col min="15108" max="15124" width="7.5703125" style="86" customWidth="1"/>
    <col min="15125" max="15125" width="11" style="86" customWidth="1"/>
    <col min="15126" max="15128" width="7.5703125" style="86" customWidth="1"/>
    <col min="15129" max="15130" width="10.7109375" style="86" customWidth="1"/>
    <col min="15131" max="15131" width="11" style="86" customWidth="1"/>
    <col min="15132" max="15134" width="10.7109375" style="86" customWidth="1"/>
    <col min="15135" max="15135" width="8.7109375" style="86"/>
    <col min="15136" max="15137" width="7.5703125" style="86" customWidth="1"/>
    <col min="15138" max="15361" width="8.7109375" style="86"/>
    <col min="15362" max="15362" width="5.42578125" style="86" customWidth="1"/>
    <col min="15363" max="15363" width="31.140625" style="86" customWidth="1"/>
    <col min="15364" max="15380" width="7.5703125" style="86" customWidth="1"/>
    <col min="15381" max="15381" width="11" style="86" customWidth="1"/>
    <col min="15382" max="15384" width="7.5703125" style="86" customWidth="1"/>
    <col min="15385" max="15386" width="10.7109375" style="86" customWidth="1"/>
    <col min="15387" max="15387" width="11" style="86" customWidth="1"/>
    <col min="15388" max="15390" width="10.7109375" style="86" customWidth="1"/>
    <col min="15391" max="15391" width="8.7109375" style="86"/>
    <col min="15392" max="15393" width="7.5703125" style="86" customWidth="1"/>
    <col min="15394" max="15617" width="8.7109375" style="86"/>
    <col min="15618" max="15618" width="5.42578125" style="86" customWidth="1"/>
    <col min="15619" max="15619" width="31.140625" style="86" customWidth="1"/>
    <col min="15620" max="15636" width="7.5703125" style="86" customWidth="1"/>
    <col min="15637" max="15637" width="11" style="86" customWidth="1"/>
    <col min="15638" max="15640" width="7.5703125" style="86" customWidth="1"/>
    <col min="15641" max="15642" width="10.7109375" style="86" customWidth="1"/>
    <col min="15643" max="15643" width="11" style="86" customWidth="1"/>
    <col min="15644" max="15646" width="10.7109375" style="86" customWidth="1"/>
    <col min="15647" max="15647" width="8.7109375" style="86"/>
    <col min="15648" max="15649" width="7.5703125" style="86" customWidth="1"/>
    <col min="15650" max="15873" width="8.7109375" style="86"/>
    <col min="15874" max="15874" width="5.42578125" style="86" customWidth="1"/>
    <col min="15875" max="15875" width="31.140625" style="86" customWidth="1"/>
    <col min="15876" max="15892" width="7.5703125" style="86" customWidth="1"/>
    <col min="15893" max="15893" width="11" style="86" customWidth="1"/>
    <col min="15894" max="15896" width="7.5703125" style="86" customWidth="1"/>
    <col min="15897" max="15898" width="10.7109375" style="86" customWidth="1"/>
    <col min="15899" max="15899" width="11" style="86" customWidth="1"/>
    <col min="15900" max="15902" width="10.7109375" style="86" customWidth="1"/>
    <col min="15903" max="15903" width="8.7109375" style="86"/>
    <col min="15904" max="15905" width="7.5703125" style="86" customWidth="1"/>
    <col min="15906" max="16129" width="8.7109375" style="86"/>
    <col min="16130" max="16130" width="5.42578125" style="86" customWidth="1"/>
    <col min="16131" max="16131" width="31.140625" style="86" customWidth="1"/>
    <col min="16132" max="16148" width="7.5703125" style="86" customWidth="1"/>
    <col min="16149" max="16149" width="11" style="86" customWidth="1"/>
    <col min="16150" max="16152" width="7.5703125" style="86" customWidth="1"/>
    <col min="16153" max="16154" width="10.7109375" style="86" customWidth="1"/>
    <col min="16155" max="16155" width="11" style="86" customWidth="1"/>
    <col min="16156" max="16158" width="10.7109375" style="86" customWidth="1"/>
    <col min="16159" max="16159" width="8.7109375" style="86"/>
    <col min="16160" max="16161" width="7.5703125" style="86" customWidth="1"/>
    <col min="16162" max="16384" width="8.7109375" style="86"/>
  </cols>
  <sheetData>
    <row r="1" spans="1:248" s="132" customFormat="1" ht="12.75">
      <c r="A1" s="131" t="s">
        <v>489</v>
      </c>
      <c r="AG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row>
    <row r="2" spans="1:248">
      <c r="A2" s="133" t="s">
        <v>490</v>
      </c>
      <c r="B2" s="133"/>
      <c r="C2" s="133"/>
      <c r="D2" s="133"/>
      <c r="E2" s="133"/>
      <c r="F2" s="133"/>
      <c r="O2" s="87"/>
      <c r="AH2" s="88"/>
    </row>
    <row r="3" spans="1:248" ht="22.5">
      <c r="A3" s="136" t="s">
        <v>491</v>
      </c>
      <c r="B3" s="137"/>
      <c r="C3" s="89" t="s">
        <v>236</v>
      </c>
      <c r="D3" s="89" t="s">
        <v>34</v>
      </c>
      <c r="E3" s="89" t="s">
        <v>227</v>
      </c>
      <c r="F3" s="89" t="s">
        <v>39</v>
      </c>
      <c r="G3" s="89" t="s">
        <v>238</v>
      </c>
      <c r="H3" s="138" t="s">
        <v>527</v>
      </c>
      <c r="I3" s="139" t="s">
        <v>40</v>
      </c>
      <c r="J3" s="89" t="s">
        <v>42</v>
      </c>
      <c r="K3" s="89" t="s">
        <v>43</v>
      </c>
      <c r="L3" s="87" t="s">
        <v>228</v>
      </c>
      <c r="M3" s="89" t="s">
        <v>249</v>
      </c>
      <c r="N3" s="89" t="s">
        <v>240</v>
      </c>
      <c r="O3" s="89" t="s">
        <v>47</v>
      </c>
      <c r="P3" s="89" t="s">
        <v>45</v>
      </c>
      <c r="Q3" s="89" t="s">
        <v>242</v>
      </c>
      <c r="R3" s="87" t="s">
        <v>52</v>
      </c>
      <c r="S3" s="87" t="s">
        <v>487</v>
      </c>
      <c r="T3" s="87" t="s">
        <v>485</v>
      </c>
      <c r="U3" s="89" t="s">
        <v>554</v>
      </c>
      <c r="V3" s="139" t="s">
        <v>243</v>
      </c>
      <c r="W3" s="139" t="s">
        <v>244</v>
      </c>
      <c r="X3" s="139" t="s">
        <v>50</v>
      </c>
      <c r="Y3" s="139" t="s">
        <v>229</v>
      </c>
      <c r="Z3" s="139" t="s">
        <v>245</v>
      </c>
      <c r="AA3" s="139" t="s">
        <v>246</v>
      </c>
      <c r="AB3" s="139" t="s">
        <v>53</v>
      </c>
      <c r="AC3" s="139" t="s">
        <v>417</v>
      </c>
      <c r="AD3" s="89" t="s">
        <v>603</v>
      </c>
      <c r="AE3" s="139" t="s">
        <v>499</v>
      </c>
      <c r="AF3" s="139" t="s">
        <v>500</v>
      </c>
      <c r="AG3" s="140"/>
      <c r="AH3" s="89" t="s">
        <v>501</v>
      </c>
      <c r="AI3" s="89" t="s">
        <v>342</v>
      </c>
      <c r="AJ3" s="90" t="s">
        <v>343</v>
      </c>
    </row>
    <row r="4" spans="1:248" ht="9.9499999999999993" customHeight="1">
      <c r="A4" s="141"/>
      <c r="B4" s="142"/>
      <c r="C4" s="143">
        <v>2006</v>
      </c>
      <c r="D4" s="143" t="s">
        <v>35</v>
      </c>
      <c r="E4" s="143">
        <v>2013</v>
      </c>
      <c r="F4" s="173">
        <v>2015</v>
      </c>
      <c r="G4" s="143">
        <v>2001</v>
      </c>
      <c r="H4" s="144" t="s">
        <v>41</v>
      </c>
      <c r="I4" s="173" t="s">
        <v>41</v>
      </c>
      <c r="J4" s="143" t="s">
        <v>41</v>
      </c>
      <c r="K4" s="143" t="s">
        <v>44</v>
      </c>
      <c r="L4" s="143">
        <v>2013</v>
      </c>
      <c r="M4" s="143">
        <v>2010</v>
      </c>
      <c r="N4" s="143">
        <v>2005</v>
      </c>
      <c r="O4" s="143" t="s">
        <v>48</v>
      </c>
      <c r="P4" s="143">
        <v>2016</v>
      </c>
      <c r="Q4" s="143">
        <v>2014</v>
      </c>
      <c r="R4" s="196">
        <v>2003</v>
      </c>
      <c r="S4" s="196">
        <v>2003</v>
      </c>
      <c r="T4" s="196">
        <v>2013</v>
      </c>
      <c r="U4" s="143">
        <v>2014</v>
      </c>
      <c r="V4" s="143">
        <v>2016</v>
      </c>
      <c r="W4" s="173" t="s">
        <v>41</v>
      </c>
      <c r="X4" s="143" t="s">
        <v>51</v>
      </c>
      <c r="Y4" s="143">
        <v>2013</v>
      </c>
      <c r="Z4" s="143">
        <v>1999</v>
      </c>
      <c r="AA4" s="143" t="s">
        <v>247</v>
      </c>
      <c r="AB4" s="173" t="s">
        <v>41</v>
      </c>
      <c r="AC4" s="173">
        <v>2010</v>
      </c>
      <c r="AD4" s="143" t="s">
        <v>54</v>
      </c>
      <c r="AE4" s="173" t="s">
        <v>55</v>
      </c>
      <c r="AF4" s="173">
        <v>2019</v>
      </c>
      <c r="AG4" s="140"/>
      <c r="AH4" s="143">
        <v>2008</v>
      </c>
      <c r="AI4" s="143">
        <v>1999</v>
      </c>
      <c r="AJ4" s="144">
        <v>2010</v>
      </c>
    </row>
    <row r="5" spans="1:248" s="149" customFormat="1" ht="9.9499999999999993" customHeight="1">
      <c r="A5" s="145">
        <v>1</v>
      </c>
      <c r="B5" s="146" t="s">
        <v>3</v>
      </c>
      <c r="C5" s="186">
        <v>238.16539263377345</v>
      </c>
      <c r="D5" s="187">
        <v>306.43021760278043</v>
      </c>
      <c r="E5" s="187">
        <v>235.75362369589035</v>
      </c>
      <c r="F5" s="187">
        <v>304.64124647029814</v>
      </c>
      <c r="G5" s="187">
        <v>224.81659361993823</v>
      </c>
      <c r="H5" s="187">
        <v>255.57736623313485</v>
      </c>
      <c r="I5" s="187">
        <v>229.09699899999998</v>
      </c>
      <c r="J5" s="187">
        <v>204.16514446634596</v>
      </c>
      <c r="K5" s="187">
        <v>247.88114899999997</v>
      </c>
      <c r="L5" s="187">
        <v>227.70988390868385</v>
      </c>
      <c r="M5" s="187">
        <v>237.61400343162168</v>
      </c>
      <c r="N5" s="187">
        <v>267.96129000000002</v>
      </c>
      <c r="O5" s="187">
        <v>176.70905816185982</v>
      </c>
      <c r="P5" s="187">
        <v>379.44005801687803</v>
      </c>
      <c r="Q5" s="187">
        <v>344.45236719336691</v>
      </c>
      <c r="R5" s="187">
        <v>329.93842687466713</v>
      </c>
      <c r="S5" s="187">
        <v>315.21515016090154</v>
      </c>
      <c r="T5" s="187">
        <v>284.68813449673746</v>
      </c>
      <c r="U5" s="187">
        <v>349.15214600000002</v>
      </c>
      <c r="V5" s="187">
        <v>242.78703277641156</v>
      </c>
      <c r="W5" s="187">
        <v>270</v>
      </c>
      <c r="X5" s="187">
        <v>241.265064</v>
      </c>
      <c r="Y5" s="187">
        <v>259.5871767818864</v>
      </c>
      <c r="Z5" s="187">
        <v>295.04895104895104</v>
      </c>
      <c r="AA5" s="187">
        <v>264.63245492371703</v>
      </c>
      <c r="AB5" s="187">
        <v>202.00473289999999</v>
      </c>
      <c r="AC5" s="187">
        <v>293.40687177497603</v>
      </c>
      <c r="AD5" s="187">
        <v>246.31598740000001</v>
      </c>
      <c r="AE5" s="187">
        <v>262.26490986792737</v>
      </c>
      <c r="AF5" s="187">
        <v>288.85578699999996</v>
      </c>
      <c r="AG5" s="140"/>
      <c r="AH5" s="147">
        <v>339.76405274115194</v>
      </c>
      <c r="AI5" s="147">
        <v>294.97941550600137</v>
      </c>
      <c r="AJ5" s="147">
        <v>240.57606000000001</v>
      </c>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c r="FE5" s="86"/>
      <c r="FF5" s="86"/>
      <c r="FG5" s="86"/>
      <c r="FH5" s="86"/>
      <c r="FI5" s="86"/>
      <c r="FJ5" s="86"/>
      <c r="FK5" s="86"/>
      <c r="FL5" s="86"/>
      <c r="FM5" s="86"/>
      <c r="FN5" s="86"/>
      <c r="FO5" s="86"/>
      <c r="FP5" s="86"/>
      <c r="FQ5" s="86"/>
      <c r="FR5" s="86"/>
      <c r="FS5" s="86"/>
      <c r="FT5" s="86"/>
      <c r="FU5" s="86"/>
      <c r="FV5" s="86"/>
      <c r="FW5" s="86"/>
      <c r="FX5" s="86"/>
      <c r="FY5" s="86"/>
      <c r="FZ5" s="86"/>
      <c r="GA5" s="86"/>
      <c r="GB5" s="86"/>
      <c r="GC5" s="86"/>
      <c r="GD5" s="86"/>
      <c r="GE5" s="86"/>
      <c r="GF5" s="86"/>
      <c r="GG5" s="86"/>
      <c r="GH5" s="86"/>
      <c r="GI5" s="86"/>
      <c r="GJ5" s="86"/>
      <c r="GK5" s="86"/>
      <c r="GL5" s="86"/>
      <c r="GM5" s="86"/>
      <c r="GN5" s="86"/>
      <c r="GO5" s="86"/>
      <c r="GP5" s="86"/>
      <c r="GQ5" s="86"/>
      <c r="GR5" s="86"/>
      <c r="GS5" s="86"/>
      <c r="GT5" s="86"/>
      <c r="GU5" s="86"/>
      <c r="GV5" s="86"/>
      <c r="GW5" s="86"/>
      <c r="GX5" s="86"/>
      <c r="GY5" s="86"/>
      <c r="GZ5" s="86"/>
      <c r="HA5" s="86"/>
      <c r="HB5" s="86"/>
      <c r="HC5" s="86"/>
      <c r="HD5" s="86"/>
      <c r="HE5" s="86"/>
      <c r="HF5" s="86"/>
      <c r="HG5" s="86"/>
      <c r="HH5" s="86"/>
      <c r="HI5" s="86"/>
      <c r="HJ5" s="86"/>
      <c r="HK5" s="86"/>
      <c r="HL5" s="86"/>
      <c r="HM5" s="86"/>
      <c r="HN5" s="86"/>
      <c r="HO5" s="86"/>
      <c r="HP5" s="86"/>
      <c r="HQ5" s="86"/>
      <c r="HR5" s="86"/>
      <c r="HS5" s="86"/>
      <c r="HT5" s="86"/>
      <c r="HU5" s="86"/>
      <c r="HV5" s="86"/>
      <c r="HW5" s="86"/>
      <c r="HX5" s="86"/>
      <c r="HY5" s="86"/>
      <c r="HZ5" s="86"/>
      <c r="IA5" s="86"/>
      <c r="IB5" s="86"/>
      <c r="IC5" s="86"/>
      <c r="ID5" s="86"/>
      <c r="IE5" s="86"/>
      <c r="IF5" s="86"/>
      <c r="IG5" s="86"/>
      <c r="IH5" s="86"/>
      <c r="II5" s="86"/>
      <c r="IJ5" s="86"/>
      <c r="IK5" s="86"/>
      <c r="IL5" s="86"/>
      <c r="IM5" s="86"/>
      <c r="IN5" s="86"/>
    </row>
    <row r="6" spans="1:248" ht="9.9499999999999993" customHeight="1">
      <c r="A6" s="150">
        <v>1.1000000000000001</v>
      </c>
      <c r="B6" s="151" t="s">
        <v>4</v>
      </c>
      <c r="C6" s="101">
        <v>186.12925642807505</v>
      </c>
      <c r="D6" s="67">
        <v>247.7713</v>
      </c>
      <c r="E6" s="67">
        <v>168.11866086381502</v>
      </c>
      <c r="F6" s="67">
        <v>238.25006367977633</v>
      </c>
      <c r="G6" s="67">
        <v>176.72095918446934</v>
      </c>
      <c r="H6" s="67">
        <v>201.36443258419771</v>
      </c>
      <c r="I6" s="67">
        <v>177.1891</v>
      </c>
      <c r="J6" s="67">
        <v>144.76130848462111</v>
      </c>
      <c r="K6" s="67">
        <v>190.93699999999998</v>
      </c>
      <c r="L6" s="67">
        <v>162.7177201501525</v>
      </c>
      <c r="M6" s="67">
        <v>170.90273268935738</v>
      </c>
      <c r="N6" s="67">
        <v>208.47110000000001</v>
      </c>
      <c r="O6" s="67">
        <v>121.8345330478835</v>
      </c>
      <c r="P6" s="67">
        <v>297.10229430379746</v>
      </c>
      <c r="Q6" s="67">
        <v>230.72139986226324</v>
      </c>
      <c r="R6" s="67">
        <v>280.03068615108344</v>
      </c>
      <c r="S6" s="67">
        <v>274.81396266072852</v>
      </c>
      <c r="T6" s="67">
        <v>212.39525252605594</v>
      </c>
      <c r="U6" s="67">
        <v>263.27080000000001</v>
      </c>
      <c r="V6" s="67">
        <v>182.55765229092233</v>
      </c>
      <c r="W6" s="67">
        <v>217.99999999999997</v>
      </c>
      <c r="X6" s="67">
        <v>166.65219999999999</v>
      </c>
      <c r="Y6" s="67">
        <v>202.42730467685953</v>
      </c>
      <c r="Z6" s="67">
        <v>233.62237762237763</v>
      </c>
      <c r="AA6" s="67">
        <v>201.71983356449374</v>
      </c>
      <c r="AB6" s="67">
        <v>151.30969999999999</v>
      </c>
      <c r="AC6" s="67">
        <v>231.18500526570702</v>
      </c>
      <c r="AD6" s="67">
        <v>186.36600000000001</v>
      </c>
      <c r="AE6" s="67">
        <v>193.70713094438065</v>
      </c>
      <c r="AF6" s="67">
        <v>233.09360000000001</v>
      </c>
      <c r="AG6" s="140"/>
      <c r="AH6" s="138">
        <v>267.81401804302567</v>
      </c>
      <c r="AI6" s="138">
        <v>239.51828539850592</v>
      </c>
      <c r="AJ6" s="138">
        <v>152.7003</v>
      </c>
    </row>
    <row r="7" spans="1:248" ht="9.9499999999999993" customHeight="1">
      <c r="A7" s="150">
        <v>1.2</v>
      </c>
      <c r="B7" s="151" t="s">
        <v>5</v>
      </c>
      <c r="C7" s="101">
        <v>25.017373175816541</v>
      </c>
      <c r="D7" s="67">
        <v>29.363549102780446</v>
      </c>
      <c r="E7" s="67">
        <v>26.357791324947797</v>
      </c>
      <c r="F7" s="67">
        <v>28.790462365519993</v>
      </c>
      <c r="G7" s="67">
        <v>23.050636731096279</v>
      </c>
      <c r="H7" s="67">
        <v>29.423588938741627</v>
      </c>
      <c r="I7" s="67">
        <v>20.771329999999999</v>
      </c>
      <c r="J7" s="67">
        <v>22.930911344006191</v>
      </c>
      <c r="K7" s="67">
        <v>28.380100000000002</v>
      </c>
      <c r="L7" s="67">
        <v>24.650340152991745</v>
      </c>
      <c r="M7" s="67">
        <v>28.54403949105318</v>
      </c>
      <c r="N7" s="67">
        <v>22.753419999999998</v>
      </c>
      <c r="O7" s="67">
        <v>21.329230852515245</v>
      </c>
      <c r="P7" s="67">
        <v>44.324472573839664</v>
      </c>
      <c r="Q7" s="67">
        <v>56.875446061423496</v>
      </c>
      <c r="R7" s="67">
        <v>36.527166244306741</v>
      </c>
      <c r="S7" s="67">
        <v>28.833324322862239</v>
      </c>
      <c r="T7" s="67">
        <v>34.830208739318444</v>
      </c>
      <c r="U7" s="67">
        <v>39.062764000000001</v>
      </c>
      <c r="V7" s="67">
        <v>31.028050726163666</v>
      </c>
      <c r="W7" s="67">
        <v>23</v>
      </c>
      <c r="X7" s="67">
        <v>29.730989999999998</v>
      </c>
      <c r="Y7" s="67">
        <v>26.851994794747839</v>
      </c>
      <c r="Z7" s="67">
        <v>25.174825174825177</v>
      </c>
      <c r="AA7" s="67">
        <v>24.965325936199722</v>
      </c>
      <c r="AB7" s="67">
        <v>21.434830000000002</v>
      </c>
      <c r="AC7" s="67">
        <v>31.002131725155394</v>
      </c>
      <c r="AD7" s="67">
        <v>30.661840000000002</v>
      </c>
      <c r="AE7" s="67">
        <v>39.168777853055737</v>
      </c>
      <c r="AF7" s="67">
        <v>21.52778</v>
      </c>
      <c r="AG7" s="140"/>
      <c r="AH7" s="138">
        <v>46.967383761276892</v>
      </c>
      <c r="AI7" s="138">
        <v>32.022697414327233</v>
      </c>
      <c r="AJ7" s="138">
        <v>36.102179999999997</v>
      </c>
    </row>
    <row r="8" spans="1:248" ht="9.9499999999999993" customHeight="1">
      <c r="A8" s="150">
        <v>1.3</v>
      </c>
      <c r="B8" s="151" t="s">
        <v>6</v>
      </c>
      <c r="C8" s="101">
        <v>16.011118832522584</v>
      </c>
      <c r="D8" s="67">
        <v>26.183879999999998</v>
      </c>
      <c r="E8" s="67">
        <v>26.533761297008716</v>
      </c>
      <c r="F8" s="67">
        <v>20.897045467253172</v>
      </c>
      <c r="G8" s="67">
        <v>16.321164845099307</v>
      </c>
      <c r="H8" s="67">
        <v>23.750354926869477</v>
      </c>
      <c r="I8" s="67">
        <v>29.049119999999998</v>
      </c>
      <c r="J8" s="67">
        <v>23.727361390687015</v>
      </c>
      <c r="K8" s="67">
        <v>14.301703333333334</v>
      </c>
      <c r="L8" s="67">
        <v>23.008952894611038</v>
      </c>
      <c r="M8" s="67">
        <v>27.241528321700013</v>
      </c>
      <c r="N8" s="67">
        <v>36.73677</v>
      </c>
      <c r="O8" s="67">
        <v>13.01561670575345</v>
      </c>
      <c r="P8" s="230">
        <v>38.013291139240501</v>
      </c>
      <c r="Q8" s="67">
        <v>37.180674148466046</v>
      </c>
      <c r="R8" s="67">
        <v>9.6898982115359686</v>
      </c>
      <c r="S8" s="67">
        <v>8.4953832839128811</v>
      </c>
      <c r="T8" s="67">
        <v>24.877113442515157</v>
      </c>
      <c r="U8" s="67">
        <v>34.170870000000001</v>
      </c>
      <c r="V8" s="67">
        <v>13.555484329213233</v>
      </c>
      <c r="W8" s="67">
        <v>18</v>
      </c>
      <c r="X8" s="67">
        <v>32.128160000000001</v>
      </c>
      <c r="Y8" s="67">
        <v>21.483190745646727</v>
      </c>
      <c r="Z8" s="67">
        <v>27.18881118881119</v>
      </c>
      <c r="AA8" s="67">
        <v>20.970873786407768</v>
      </c>
      <c r="AB8" s="67">
        <v>17.858779999999999</v>
      </c>
      <c r="AC8" s="67">
        <v>31.219734784113403</v>
      </c>
      <c r="AD8" s="67">
        <v>16.899139999999999</v>
      </c>
      <c r="AE8" s="67">
        <v>13.671940217377509</v>
      </c>
      <c r="AF8" s="67">
        <v>17.70945</v>
      </c>
      <c r="AG8" s="140"/>
      <c r="AH8" s="138">
        <v>24.98265093684941</v>
      </c>
      <c r="AI8" s="138">
        <v>12.009144181605688</v>
      </c>
      <c r="AJ8" s="138">
        <v>25.658950000000001</v>
      </c>
    </row>
    <row r="9" spans="1:248" ht="9.9499999999999993" customHeight="1">
      <c r="A9" s="150">
        <v>1.4</v>
      </c>
      <c r="B9" s="153" t="s">
        <v>7</v>
      </c>
      <c r="C9" s="101">
        <v>11.007644197359276</v>
      </c>
      <c r="D9" s="67">
        <v>0.71406950000000002</v>
      </c>
      <c r="E9" s="67">
        <v>14.743410210118807</v>
      </c>
      <c r="F9" s="67">
        <v>15.083591355146345</v>
      </c>
      <c r="G9" s="67">
        <v>8.7238328592733474</v>
      </c>
      <c r="H9" s="67">
        <v>1.03898978332602</v>
      </c>
      <c r="I9" s="67" t="s">
        <v>248</v>
      </c>
      <c r="J9" s="67">
        <v>10.37714060821574</v>
      </c>
      <c r="K9" s="67">
        <v>9.7404333333333337</v>
      </c>
      <c r="L9" s="67">
        <v>17.332870710928567</v>
      </c>
      <c r="M9" s="67">
        <v>10.925702929511088</v>
      </c>
      <c r="N9" s="67" t="s">
        <v>248</v>
      </c>
      <c r="O9" s="67">
        <v>14.798889788736966</v>
      </c>
      <c r="P9" s="230"/>
      <c r="Q9" s="67">
        <v>19.674847121214164</v>
      </c>
      <c r="R9" s="67">
        <v>3.6906762677409524</v>
      </c>
      <c r="S9" s="67">
        <v>3.0724798933979569</v>
      </c>
      <c r="T9" s="67">
        <v>12.58555978884797</v>
      </c>
      <c r="U9" s="67">
        <v>11.12811</v>
      </c>
      <c r="V9" s="67">
        <v>11.60119212909259</v>
      </c>
      <c r="W9" s="67">
        <v>11</v>
      </c>
      <c r="X9" s="67">
        <v>8.3506839999999993</v>
      </c>
      <c r="Y9" s="67">
        <v>8.8246865646322838</v>
      </c>
      <c r="Z9" s="67">
        <v>9.0629370629370634</v>
      </c>
      <c r="AA9" s="67">
        <v>16.976421636615811</v>
      </c>
      <c r="AB9" s="67">
        <v>8.3775230000000001</v>
      </c>
      <c r="AC9" s="67" t="s">
        <v>248</v>
      </c>
      <c r="AD9" s="67">
        <v>12.142300000000001</v>
      </c>
      <c r="AE9" s="67">
        <v>13.099735796873963</v>
      </c>
      <c r="AF9" s="67">
        <v>14.1995</v>
      </c>
      <c r="AG9" s="140"/>
      <c r="AH9" s="138" t="s">
        <v>248</v>
      </c>
      <c r="AI9" s="138">
        <v>11.429288511562502</v>
      </c>
      <c r="AJ9" s="138">
        <v>13.15171</v>
      </c>
    </row>
    <row r="10" spans="1:248" ht="9.9499999999999993" customHeight="1">
      <c r="A10" s="150">
        <v>1.5</v>
      </c>
      <c r="B10" s="153" t="s">
        <v>8</v>
      </c>
      <c r="C10" s="101" t="s">
        <v>248</v>
      </c>
      <c r="D10" s="67">
        <v>1.317898</v>
      </c>
      <c r="E10" s="67" t="s">
        <v>248</v>
      </c>
      <c r="F10" s="67">
        <v>1.6200836026022054</v>
      </c>
      <c r="G10" s="67" t="s">
        <v>248</v>
      </c>
      <c r="H10" s="67" t="s">
        <v>248</v>
      </c>
      <c r="I10" s="67" t="s">
        <v>248</v>
      </c>
      <c r="J10" s="67">
        <v>2.0235601186031063</v>
      </c>
      <c r="K10" s="67">
        <v>0.59800066666666674</v>
      </c>
      <c r="L10" s="121" t="s">
        <v>248</v>
      </c>
      <c r="M10" s="67" t="s">
        <v>248</v>
      </c>
      <c r="N10" s="67" t="s">
        <v>248</v>
      </c>
      <c r="O10" s="67">
        <v>2.5060850026540029</v>
      </c>
      <c r="P10" s="67" t="s">
        <v>248</v>
      </c>
      <c r="Q10" s="67" t="s">
        <v>248</v>
      </c>
      <c r="R10" s="67" t="s">
        <v>248</v>
      </c>
      <c r="S10" s="67" t="s">
        <v>248</v>
      </c>
      <c r="T10" s="67" t="s">
        <v>248</v>
      </c>
      <c r="U10" s="67">
        <v>1.5196019999999999</v>
      </c>
      <c r="V10" s="67">
        <v>1.1408786776647117</v>
      </c>
      <c r="W10" s="67" t="s">
        <v>248</v>
      </c>
      <c r="X10" s="67" t="s">
        <v>248</v>
      </c>
      <c r="Y10" s="67" t="s">
        <v>248</v>
      </c>
      <c r="Z10" s="67"/>
      <c r="AA10" s="67" t="s">
        <v>248</v>
      </c>
      <c r="AB10" s="67">
        <v>2.5337700000000001</v>
      </c>
      <c r="AC10" s="67" t="s">
        <v>248</v>
      </c>
      <c r="AD10" s="67" t="s">
        <v>248</v>
      </c>
      <c r="AE10" s="67">
        <v>1.7927450356366266</v>
      </c>
      <c r="AF10" s="67">
        <v>2.3254570000000001</v>
      </c>
      <c r="AG10" s="140"/>
      <c r="AH10" s="138" t="s">
        <v>248</v>
      </c>
      <c r="AI10" s="138" t="s">
        <v>248</v>
      </c>
      <c r="AJ10" s="138" t="s">
        <v>248</v>
      </c>
    </row>
    <row r="11" spans="1:248" ht="9.9499999999999993" customHeight="1">
      <c r="A11" s="150">
        <v>1.6</v>
      </c>
      <c r="B11" s="153" t="s">
        <v>9</v>
      </c>
      <c r="C11" s="101" t="s">
        <v>248</v>
      </c>
      <c r="D11" s="67">
        <v>1.079521</v>
      </c>
      <c r="E11" s="67" t="s">
        <v>248</v>
      </c>
      <c r="F11" s="67" t="s">
        <v>248</v>
      </c>
      <c r="G11" s="67" t="s">
        <v>248</v>
      </c>
      <c r="H11" s="67" t="s">
        <v>248</v>
      </c>
      <c r="I11" s="67">
        <v>2.0874489999999999</v>
      </c>
      <c r="J11" s="67">
        <v>0.34486252021277547</v>
      </c>
      <c r="K11" s="67">
        <v>3.9239116666666667</v>
      </c>
      <c r="L11" s="121" t="s">
        <v>248</v>
      </c>
      <c r="M11" s="67" t="s">
        <v>248</v>
      </c>
      <c r="N11" s="67" t="s">
        <v>248</v>
      </c>
      <c r="O11" s="67">
        <v>3.2247027643166408</v>
      </c>
      <c r="P11" s="67" t="s">
        <v>248</v>
      </c>
      <c r="Q11" s="67" t="s">
        <v>248</v>
      </c>
      <c r="R11" s="67" t="s">
        <v>248</v>
      </c>
      <c r="S11" s="67" t="s">
        <v>248</v>
      </c>
      <c r="T11" s="67" t="s">
        <v>248</v>
      </c>
      <c r="U11" s="67" t="s">
        <v>248</v>
      </c>
      <c r="V11" s="67">
        <v>2.9037746233550226</v>
      </c>
      <c r="W11" s="67" t="s">
        <v>248</v>
      </c>
      <c r="X11" s="67">
        <v>4.4030300000000002</v>
      </c>
      <c r="Y11" s="67" t="s">
        <v>248</v>
      </c>
      <c r="Z11" s="67"/>
      <c r="AA11" s="67" t="s">
        <v>248</v>
      </c>
      <c r="AB11" s="67">
        <v>0.5</v>
      </c>
      <c r="AC11" s="67" t="s">
        <v>248</v>
      </c>
      <c r="AD11" s="67">
        <v>0</v>
      </c>
      <c r="AE11" s="67">
        <v>0.82458002060285729</v>
      </c>
      <c r="AF11" s="67" t="s">
        <v>248</v>
      </c>
      <c r="AG11" s="140"/>
      <c r="AH11" s="138" t="s">
        <v>248</v>
      </c>
      <c r="AI11" s="138" t="s">
        <v>248</v>
      </c>
      <c r="AJ11" s="138">
        <v>12.96292</v>
      </c>
    </row>
    <row r="12" spans="1:248" s="149" customFormat="1" ht="9.9499999999999993" customHeight="1">
      <c r="A12" s="145">
        <v>2</v>
      </c>
      <c r="B12" s="146" t="s">
        <v>10</v>
      </c>
      <c r="C12" s="188">
        <v>243.16886726893674</v>
      </c>
      <c r="D12" s="189">
        <v>202</v>
      </c>
      <c r="E12" s="189">
        <v>191.82015613289278</v>
      </c>
      <c r="F12" s="189">
        <v>186</v>
      </c>
      <c r="G12" s="189">
        <v>216.62734139108395</v>
      </c>
      <c r="H12" s="189">
        <v>207.68231072831324</v>
      </c>
      <c r="I12" s="189">
        <v>196.87715589999996</v>
      </c>
      <c r="J12" s="189">
        <v>181.09854971438716</v>
      </c>
      <c r="K12" s="189">
        <v>195.93102700000003</v>
      </c>
      <c r="L12" s="189">
        <v>180.20115534911244</v>
      </c>
      <c r="M12" s="189">
        <v>229.15895598637951</v>
      </c>
      <c r="N12" s="189">
        <v>209.641482</v>
      </c>
      <c r="O12" s="189">
        <v>219.0387454375628</v>
      </c>
      <c r="P12" s="189">
        <v>129.30312499999999</v>
      </c>
      <c r="Q12" s="189">
        <v>131.70642802559914</v>
      </c>
      <c r="R12" s="189">
        <v>196.07454389135427</v>
      </c>
      <c r="S12" s="189">
        <v>224.47132506809609</v>
      </c>
      <c r="T12" s="189">
        <v>179.15560398654182</v>
      </c>
      <c r="U12" s="189">
        <v>263.88787199999996</v>
      </c>
      <c r="V12" s="189">
        <v>185.56138244143753</v>
      </c>
      <c r="W12" s="189">
        <v>204</v>
      </c>
      <c r="X12" s="189">
        <v>195.98424800000001</v>
      </c>
      <c r="Y12" s="189">
        <v>225.9186996627173</v>
      </c>
      <c r="Z12" s="189">
        <v>222.54545454545453</v>
      </c>
      <c r="AA12" s="189">
        <v>230.67961165048544</v>
      </c>
      <c r="AB12" s="189">
        <v>216.72910549999997</v>
      </c>
      <c r="AC12" s="189">
        <v>196.499173777816</v>
      </c>
      <c r="AD12" s="189">
        <v>186.08949200000004</v>
      </c>
      <c r="AE12" s="189">
        <v>194.52788505857268</v>
      </c>
      <c r="AF12" s="189">
        <v>219.21774499999998</v>
      </c>
      <c r="AG12" s="140"/>
      <c r="AH12" s="147">
        <v>163.88619014573212</v>
      </c>
      <c r="AI12" s="147">
        <v>191.14614411902261</v>
      </c>
      <c r="AJ12" s="147">
        <v>182.2847917</v>
      </c>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c r="DP12" s="86"/>
      <c r="DQ12" s="86"/>
      <c r="DR12" s="86"/>
      <c r="DS12" s="86"/>
      <c r="DT12" s="86"/>
      <c r="DU12" s="86"/>
      <c r="DV12" s="86"/>
      <c r="DW12" s="86"/>
      <c r="DX12" s="86"/>
      <c r="DY12" s="86"/>
      <c r="DZ12" s="86"/>
      <c r="EA12" s="86"/>
      <c r="EB12" s="86"/>
      <c r="EC12" s="86"/>
      <c r="ED12" s="86"/>
      <c r="EE12" s="86"/>
      <c r="EF12" s="86"/>
      <c r="EG12" s="86"/>
      <c r="EH12" s="86"/>
      <c r="EI12" s="86"/>
      <c r="EJ12" s="86"/>
      <c r="EK12" s="86"/>
      <c r="EL12" s="86"/>
      <c r="EM12" s="86"/>
      <c r="EN12" s="86"/>
      <c r="EO12" s="86"/>
      <c r="EP12" s="86"/>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6"/>
      <c r="FO12" s="86"/>
      <c r="FP12" s="86"/>
      <c r="FQ12" s="86"/>
      <c r="FR12" s="86"/>
      <c r="FS12" s="86"/>
      <c r="FT12" s="86"/>
      <c r="FU12" s="86"/>
      <c r="FV12" s="86"/>
      <c r="FW12" s="86"/>
      <c r="FX12" s="86"/>
      <c r="FY12" s="86"/>
      <c r="FZ12" s="86"/>
      <c r="GA12" s="86"/>
      <c r="GB12" s="86"/>
      <c r="GC12" s="86"/>
      <c r="GD12" s="86"/>
      <c r="GE12" s="86"/>
      <c r="GF12" s="86"/>
      <c r="GG12" s="86"/>
      <c r="GH12" s="86"/>
      <c r="GI12" s="86"/>
      <c r="GJ12" s="86"/>
      <c r="GK12" s="86"/>
      <c r="GL12" s="86"/>
      <c r="GM12" s="86"/>
      <c r="GN12" s="86"/>
      <c r="GO12" s="86"/>
      <c r="GP12" s="86"/>
      <c r="GQ12" s="86"/>
      <c r="GR12" s="86"/>
      <c r="GS12" s="86"/>
      <c r="GT12" s="86"/>
      <c r="GU12" s="86"/>
      <c r="GV12" s="86"/>
      <c r="GW12" s="86"/>
      <c r="GX12" s="86"/>
      <c r="GY12" s="86"/>
      <c r="GZ12" s="86"/>
      <c r="HA12" s="86"/>
      <c r="HB12" s="86"/>
      <c r="HC12" s="86"/>
      <c r="HD12" s="86"/>
      <c r="HE12" s="86"/>
      <c r="HF12" s="86"/>
      <c r="HG12" s="86"/>
      <c r="HH12" s="86"/>
      <c r="HI12" s="86"/>
      <c r="HJ12" s="86"/>
      <c r="HK12" s="86"/>
      <c r="HL12" s="86"/>
      <c r="HM12" s="86"/>
      <c r="HN12" s="86"/>
      <c r="HO12" s="86"/>
      <c r="HP12" s="86"/>
      <c r="HQ12" s="86"/>
      <c r="HR12" s="86"/>
      <c r="HS12" s="86"/>
      <c r="HT12" s="86"/>
      <c r="HU12" s="86"/>
      <c r="HV12" s="86"/>
      <c r="HW12" s="86"/>
      <c r="HX12" s="86"/>
      <c r="HY12" s="86"/>
      <c r="HZ12" s="86"/>
      <c r="IA12" s="86"/>
      <c r="IB12" s="86"/>
      <c r="IC12" s="86"/>
      <c r="ID12" s="86"/>
      <c r="IE12" s="86"/>
      <c r="IF12" s="86"/>
      <c r="IG12" s="86"/>
      <c r="IH12" s="86"/>
      <c r="II12" s="86"/>
      <c r="IJ12" s="86"/>
      <c r="IK12" s="86"/>
      <c r="IL12" s="86"/>
      <c r="IM12" s="86"/>
      <c r="IN12" s="86"/>
    </row>
    <row r="13" spans="1:248" ht="9.9499999999999993" customHeight="1">
      <c r="A13" s="150">
        <v>2.1</v>
      </c>
      <c r="B13" s="151" t="s">
        <v>11</v>
      </c>
      <c r="C13" s="101">
        <v>132.09173036831132</v>
      </c>
      <c r="D13" s="67">
        <v>124.59176206525849</v>
      </c>
      <c r="E13" s="67">
        <v>120.53960311565456</v>
      </c>
      <c r="F13" s="67">
        <v>114.68344777840595</v>
      </c>
      <c r="G13" s="67">
        <v>127.55955140937537</v>
      </c>
      <c r="H13" s="67">
        <v>120.66609002002623</v>
      </c>
      <c r="I13" s="67">
        <v>109.4122</v>
      </c>
      <c r="J13" s="67">
        <v>128.50020753153993</v>
      </c>
      <c r="K13" s="67">
        <v>109.35420000000001</v>
      </c>
      <c r="L13" s="67">
        <v>124.52283553974084</v>
      </c>
      <c r="M13" s="67">
        <v>149.95613874609404</v>
      </c>
      <c r="N13" s="67">
        <v>90.748580000000004</v>
      </c>
      <c r="O13" s="67">
        <v>134.71427265092865</v>
      </c>
      <c r="P13" s="67">
        <v>76.480155590717303</v>
      </c>
      <c r="Q13" s="67">
        <v>76.162790481758975</v>
      </c>
      <c r="R13" s="67">
        <v>129.98320871142414</v>
      </c>
      <c r="S13" s="67">
        <v>154.41828732696882</v>
      </c>
      <c r="T13" s="67">
        <v>107.93013211584199</v>
      </c>
      <c r="U13" s="67">
        <v>187.3759</v>
      </c>
      <c r="V13" s="67">
        <v>104.93934061698035</v>
      </c>
      <c r="W13" s="67">
        <v>110.00000000000001</v>
      </c>
      <c r="X13" s="67">
        <v>82.886830000000003</v>
      </c>
      <c r="Y13" s="67">
        <v>135.30741531307629</v>
      </c>
      <c r="Z13" s="67">
        <v>161.11888111888112</v>
      </c>
      <c r="AA13" s="67">
        <v>165.76976421636616</v>
      </c>
      <c r="AB13" s="67">
        <v>115.8587</v>
      </c>
      <c r="AC13" s="67">
        <v>107.15987953726221</v>
      </c>
      <c r="AD13" s="67">
        <v>123.8981</v>
      </c>
      <c r="AE13" s="67">
        <v>103.6219686563652</v>
      </c>
      <c r="AF13" s="67">
        <v>99.159300000000002</v>
      </c>
      <c r="AG13" s="140"/>
      <c r="AH13" s="138">
        <v>102.92852185981958</v>
      </c>
      <c r="AI13" s="138">
        <v>148.40091167636444</v>
      </c>
      <c r="AJ13" s="138">
        <v>130.30510000000001</v>
      </c>
    </row>
    <row r="14" spans="1:248" ht="9.9499999999999993" customHeight="1">
      <c r="A14" s="150">
        <v>2.2000000000000002</v>
      </c>
      <c r="B14" s="151" t="s">
        <v>12</v>
      </c>
      <c r="C14" s="101">
        <v>29.020152883947183</v>
      </c>
      <c r="D14" s="67">
        <v>20.732446111990583</v>
      </c>
      <c r="E14" s="67">
        <v>28.595905636097093</v>
      </c>
      <c r="F14" s="67">
        <v>24.095447924296373</v>
      </c>
      <c r="G14" s="67">
        <v>26.030902859860817</v>
      </c>
      <c r="H14" s="67">
        <v>23.959772801974655</v>
      </c>
      <c r="I14" s="67">
        <v>26.156199999999998</v>
      </c>
      <c r="J14" s="67">
        <v>22.105101295604548</v>
      </c>
      <c r="K14" s="67">
        <v>32.090466666666671</v>
      </c>
      <c r="L14" s="67">
        <v>16.354266998800973</v>
      </c>
      <c r="M14" s="67">
        <v>19.211990696384206</v>
      </c>
      <c r="N14" s="67">
        <v>27.566739999999999</v>
      </c>
      <c r="O14" s="67">
        <v>27.742728221016407</v>
      </c>
      <c r="P14" s="67">
        <v>24.397784810126581</v>
      </c>
      <c r="Q14" s="67">
        <v>13.27159646951012</v>
      </c>
      <c r="R14" s="67">
        <v>15.851147895986966</v>
      </c>
      <c r="S14" s="67">
        <v>17.276902280156335</v>
      </c>
      <c r="T14" s="67">
        <v>23.030768700502957</v>
      </c>
      <c r="U14" s="67">
        <v>14.179349999999999</v>
      </c>
      <c r="V14" s="67">
        <v>28.202490621798834</v>
      </c>
      <c r="W14" s="67">
        <v>24</v>
      </c>
      <c r="X14" s="67">
        <v>20.440919999999998</v>
      </c>
      <c r="Y14" s="67">
        <v>25.022829794997886</v>
      </c>
      <c r="Z14" s="67">
        <v>15.104895104895105</v>
      </c>
      <c r="AA14" s="67">
        <v>17.975034674063799</v>
      </c>
      <c r="AB14" s="67">
        <v>25.443760000000001</v>
      </c>
      <c r="AC14" s="67">
        <v>23.455743314803502</v>
      </c>
      <c r="AD14" s="67">
        <v>13.95561</v>
      </c>
      <c r="AE14" s="67">
        <v>29.412386202766559</v>
      </c>
      <c r="AF14" s="67">
        <v>21.959679999999999</v>
      </c>
      <c r="AG14" s="140"/>
      <c r="AH14" s="138">
        <v>19.986120749479529</v>
      </c>
      <c r="AI14" s="138">
        <v>11.568416441556378</v>
      </c>
      <c r="AJ14" s="138">
        <v>9.4800880000000003</v>
      </c>
    </row>
    <row r="15" spans="1:248" ht="9.9499999999999993" customHeight="1">
      <c r="A15" s="150">
        <v>2.2999999999999998</v>
      </c>
      <c r="B15" s="155" t="s">
        <v>13</v>
      </c>
      <c r="C15" s="101">
        <v>44.53092425295344</v>
      </c>
      <c r="D15" s="67">
        <v>33.88775526253324</v>
      </c>
      <c r="E15" s="67">
        <v>22</v>
      </c>
      <c r="F15" s="67">
        <v>29</v>
      </c>
      <c r="G15" s="67">
        <v>28.495650686690823</v>
      </c>
      <c r="H15" s="67">
        <v>27.928427598072435</v>
      </c>
      <c r="I15" s="67">
        <f>I16+I17</f>
        <v>22.939862899999998</v>
      </c>
      <c r="J15" s="67">
        <v>22.116559396276116</v>
      </c>
      <c r="K15" s="67">
        <v>18.901665333333334</v>
      </c>
      <c r="L15" s="67">
        <v>19</v>
      </c>
      <c r="M15" s="67">
        <v>33</v>
      </c>
      <c r="N15" s="67">
        <v>60.755940000000002</v>
      </c>
      <c r="O15" s="67">
        <v>26.621509337390592</v>
      </c>
      <c r="P15" s="67" t="s">
        <v>248</v>
      </c>
      <c r="Q15" s="67">
        <v>27.695620733488894</v>
      </c>
      <c r="R15" s="67">
        <v>15</v>
      </c>
      <c r="S15" s="67">
        <v>19</v>
      </c>
      <c r="T15" s="67">
        <v>20</v>
      </c>
      <c r="U15" s="67">
        <v>38.211546999999996</v>
      </c>
      <c r="V15" s="67">
        <v>21.573036181474887</v>
      </c>
      <c r="W15" s="67">
        <v>30</v>
      </c>
      <c r="X15" s="67">
        <v>23</v>
      </c>
      <c r="Y15" s="67">
        <v>38</v>
      </c>
      <c r="Z15" s="67">
        <v>17.118881118881117</v>
      </c>
      <c r="AA15" s="67">
        <v>20.970873786407768</v>
      </c>
      <c r="AB15" s="67">
        <v>35</v>
      </c>
      <c r="AC15" s="67">
        <v>32.536489508994187</v>
      </c>
      <c r="AD15" s="67">
        <v>28.504801</v>
      </c>
      <c r="AE15" s="67">
        <v>32.05350676738788</v>
      </c>
      <c r="AF15" s="67">
        <v>29.027059999999999</v>
      </c>
      <c r="AG15" s="140"/>
      <c r="AH15" s="138">
        <v>22.984038861901457</v>
      </c>
      <c r="AI15" s="138">
        <v>21.451138074992837</v>
      </c>
      <c r="AJ15" s="138">
        <v>17.751244999999997</v>
      </c>
    </row>
    <row r="16" spans="1:248" ht="9.9499999999999993" customHeight="1">
      <c r="A16" s="150" t="s">
        <v>0</v>
      </c>
      <c r="B16" s="155" t="s">
        <v>14</v>
      </c>
      <c r="C16" s="101" t="s">
        <v>248</v>
      </c>
      <c r="D16" s="67">
        <v>32.735221350342307</v>
      </c>
      <c r="E16" s="67">
        <v>21.892779274580693</v>
      </c>
      <c r="F16" s="67">
        <v>27.601648240413706</v>
      </c>
      <c r="G16" s="67" t="s">
        <v>248</v>
      </c>
      <c r="H16" s="67">
        <v>27.536424657854379</v>
      </c>
      <c r="I16" s="67">
        <v>22.134709999999998</v>
      </c>
      <c r="J16" s="67">
        <v>21.187871241844675</v>
      </c>
      <c r="K16" s="67">
        <v>17.960899999999999</v>
      </c>
      <c r="L16" s="67">
        <v>19.328142140262639</v>
      </c>
      <c r="M16" s="67">
        <v>32.744937804741149</v>
      </c>
      <c r="N16" s="67" t="s">
        <v>248</v>
      </c>
      <c r="O16" s="67">
        <v>24.566652258315219</v>
      </c>
      <c r="P16" s="67">
        <v>21.544448839662447</v>
      </c>
      <c r="Q16" s="67" t="s">
        <v>248</v>
      </c>
      <c r="R16" s="67">
        <v>15</v>
      </c>
      <c r="S16" s="67">
        <v>19.435560132617375</v>
      </c>
      <c r="T16" s="67">
        <v>20.08254389941909</v>
      </c>
      <c r="U16" s="67">
        <v>32.514519999999997</v>
      </c>
      <c r="V16" s="67">
        <v>21.21219969233076</v>
      </c>
      <c r="W16" s="67">
        <v>30</v>
      </c>
      <c r="X16" s="67">
        <v>23.27684</v>
      </c>
      <c r="Y16" s="67">
        <v>38.300014552299288</v>
      </c>
      <c r="Z16" s="67"/>
      <c r="AA16" s="67">
        <v>21</v>
      </c>
      <c r="AB16" s="67">
        <v>32.346319999999999</v>
      </c>
      <c r="AC16" s="67">
        <v>25.369484379315598</v>
      </c>
      <c r="AD16" s="67">
        <v>26.312000000000001</v>
      </c>
      <c r="AE16" s="67">
        <v>25.960302397205588</v>
      </c>
      <c r="AF16" s="67">
        <v>26.938469999999999</v>
      </c>
      <c r="AG16" s="140"/>
      <c r="AH16" s="138" t="s">
        <v>248</v>
      </c>
      <c r="AI16" s="138" t="s">
        <v>248</v>
      </c>
      <c r="AJ16" s="138">
        <v>16.836929999999999</v>
      </c>
    </row>
    <row r="17" spans="1:248" ht="9.9499999999999993" customHeight="1">
      <c r="A17" s="150" t="s">
        <v>1</v>
      </c>
      <c r="B17" s="155" t="s">
        <v>15</v>
      </c>
      <c r="C17" s="101" t="s">
        <v>248</v>
      </c>
      <c r="D17" s="67">
        <v>1.1525339121909388</v>
      </c>
      <c r="E17" s="67" t="s">
        <v>248</v>
      </c>
      <c r="F17" s="67">
        <v>1.3372793193151422</v>
      </c>
      <c r="G17" s="67" t="s">
        <v>248</v>
      </c>
      <c r="H17" s="67" t="s">
        <v>248</v>
      </c>
      <c r="I17" s="67">
        <v>0.80515289999999995</v>
      </c>
      <c r="J17" s="67">
        <v>0.92868815443144448</v>
      </c>
      <c r="K17" s="67">
        <v>0.94076533333333334</v>
      </c>
      <c r="L17" s="67" t="s">
        <v>248</v>
      </c>
      <c r="M17" s="67" t="s">
        <v>248</v>
      </c>
      <c r="N17" s="67" t="s">
        <v>248</v>
      </c>
      <c r="O17" s="67">
        <v>2.054866090157268</v>
      </c>
      <c r="P17" s="230">
        <v>3.4748417721518998</v>
      </c>
      <c r="Q17" s="67" t="s">
        <v>248</v>
      </c>
      <c r="R17" s="67" t="s">
        <v>248</v>
      </c>
      <c r="S17" s="67" t="s">
        <v>248</v>
      </c>
      <c r="T17" s="67" t="s">
        <v>248</v>
      </c>
      <c r="U17" s="67">
        <v>5.6970270000000003</v>
      </c>
      <c r="V17" s="67">
        <v>0.36083648914412991</v>
      </c>
      <c r="W17" s="67" t="s">
        <v>248</v>
      </c>
      <c r="X17" s="67">
        <v>0</v>
      </c>
      <c r="Y17" s="67" t="s">
        <v>248</v>
      </c>
      <c r="Z17" s="67"/>
      <c r="AA17" s="67" t="s">
        <v>248</v>
      </c>
      <c r="AB17" s="67">
        <v>2.7745519999999999</v>
      </c>
      <c r="AC17" s="67">
        <v>7.1670051296785902</v>
      </c>
      <c r="AD17" s="67">
        <v>2.1928010000000002</v>
      </c>
      <c r="AE17" s="67">
        <v>6.0055039935301062</v>
      </c>
      <c r="AF17" s="67">
        <v>2.0820699999999999</v>
      </c>
      <c r="AG17" s="140"/>
      <c r="AH17" s="138" t="s">
        <v>248</v>
      </c>
      <c r="AI17" s="138" t="s">
        <v>248</v>
      </c>
      <c r="AJ17" s="138">
        <v>0.91431499999999999</v>
      </c>
    </row>
    <row r="18" spans="1:248" ht="9.9499999999999993" customHeight="1">
      <c r="A18" s="150">
        <v>2.4</v>
      </c>
      <c r="B18" s="155" t="s">
        <v>16</v>
      </c>
      <c r="C18" s="101" t="s">
        <v>248</v>
      </c>
      <c r="D18" s="67">
        <v>0.78990107404032073</v>
      </c>
      <c r="E18" s="67">
        <v>3.5048339513958426</v>
      </c>
      <c r="F18" s="67">
        <v>4.3925418636955014</v>
      </c>
      <c r="G18" s="67">
        <v>9.8399139169451768</v>
      </c>
      <c r="H18" s="67">
        <v>10.168367392005671</v>
      </c>
      <c r="I18" s="67">
        <v>3.1949649999999998</v>
      </c>
      <c r="J18" s="67">
        <v>1.9716921155630656</v>
      </c>
      <c r="K18" s="67">
        <v>6.352783333333333</v>
      </c>
      <c r="L18" s="67">
        <v>7.126743070157822</v>
      </c>
      <c r="M18" s="67">
        <v>8.8498925036295404</v>
      </c>
      <c r="N18" s="67" t="s">
        <v>248</v>
      </c>
      <c r="O18" s="67">
        <v>6.6223061631664057</v>
      </c>
      <c r="P18" s="230"/>
      <c r="Q18" s="67">
        <v>0.99224108046153381</v>
      </c>
      <c r="R18" s="67">
        <v>11.298587937506312</v>
      </c>
      <c r="S18" s="67">
        <v>13.286608711649585</v>
      </c>
      <c r="T18" s="67">
        <v>3.323088588934934</v>
      </c>
      <c r="U18" s="67">
        <v>12.294729999999999</v>
      </c>
      <c r="V18" s="67">
        <v>6.7281695821480456</v>
      </c>
      <c r="W18" s="67">
        <v>8</v>
      </c>
      <c r="X18" s="67">
        <v>0</v>
      </c>
      <c r="Y18" s="67">
        <v>8.7045961008331201</v>
      </c>
      <c r="Z18" s="67">
        <v>7.0489510489510492</v>
      </c>
      <c r="AA18" s="67">
        <v>6.9902912621359219</v>
      </c>
      <c r="AB18" s="67">
        <v>5.6682269999999999</v>
      </c>
      <c r="AC18" s="67" t="s">
        <v>248</v>
      </c>
      <c r="AD18" s="67">
        <v>1.635562</v>
      </c>
      <c r="AE18" s="67">
        <v>6.5941895188265658</v>
      </c>
      <c r="AF18" s="67">
        <v>3.7300939999999998</v>
      </c>
      <c r="AG18" s="140"/>
      <c r="AH18" s="138">
        <v>1.9986120749479528</v>
      </c>
      <c r="AI18" s="138">
        <v>1.1764475435982551</v>
      </c>
      <c r="AJ18" s="138">
        <v>0.63028169999999994</v>
      </c>
    </row>
    <row r="19" spans="1:248" ht="9.9499999999999993" customHeight="1">
      <c r="A19" s="150">
        <v>2.5</v>
      </c>
      <c r="B19" s="155" t="s">
        <v>17</v>
      </c>
      <c r="C19" s="101">
        <v>5.5038220986796382</v>
      </c>
      <c r="D19" s="67">
        <v>3.8356070986882957</v>
      </c>
      <c r="E19" s="67">
        <v>2.7075509573291083</v>
      </c>
      <c r="F19" s="67">
        <v>3</v>
      </c>
      <c r="G19" s="67">
        <v>2.6782481149332913</v>
      </c>
      <c r="H19" s="67">
        <v>2.0108212520005453</v>
      </c>
      <c r="I19" s="67">
        <v>3.587208</v>
      </c>
      <c r="J19" s="67" t="s">
        <v>248</v>
      </c>
      <c r="K19" s="67">
        <v>6.0297233333333331</v>
      </c>
      <c r="L19" s="67">
        <v>0</v>
      </c>
      <c r="M19" s="67">
        <v>0.57585100647247756</v>
      </c>
      <c r="N19" s="67">
        <v>7.816802</v>
      </c>
      <c r="O19" s="67">
        <v>2.558667669222674</v>
      </c>
      <c r="P19" s="67">
        <v>3.4058939873417722</v>
      </c>
      <c r="Q19" s="67">
        <v>0.76845919529151818</v>
      </c>
      <c r="R19" s="67">
        <v>0</v>
      </c>
      <c r="S19" s="67">
        <v>0</v>
      </c>
      <c r="T19" s="67">
        <v>2.6565438835111053</v>
      </c>
      <c r="U19" s="67">
        <v>2.1740189999999999</v>
      </c>
      <c r="V19" s="67">
        <v>5.0326878941789124</v>
      </c>
      <c r="W19" s="67">
        <v>5</v>
      </c>
      <c r="X19" s="67">
        <v>6.1876379999999997</v>
      </c>
      <c r="Y19" s="67">
        <v>0.58060901870741333</v>
      </c>
      <c r="Z19" s="67">
        <v>2.013986013986016</v>
      </c>
      <c r="AA19" s="67">
        <v>0.9986130374479889</v>
      </c>
      <c r="AB19" s="67">
        <v>0.88865649999999996</v>
      </c>
      <c r="AC19" s="67" t="s">
        <v>248</v>
      </c>
      <c r="AD19" s="67">
        <v>2.9435180000000001</v>
      </c>
      <c r="AE19" s="67">
        <v>3</v>
      </c>
      <c r="AF19" s="67">
        <v>5.8869829999999999</v>
      </c>
      <c r="AG19" s="140"/>
      <c r="AH19" s="138">
        <v>0.99930603747397639</v>
      </c>
      <c r="AI19" s="138">
        <v>0.25789098030651336</v>
      </c>
      <c r="AJ19" s="138">
        <v>1.5754950000000001</v>
      </c>
    </row>
    <row r="20" spans="1:248" ht="9.9499999999999993" customHeight="1">
      <c r="A20" s="150">
        <v>2.6</v>
      </c>
      <c r="B20" s="153" t="s">
        <v>18</v>
      </c>
      <c r="C20" s="101">
        <v>32.022237665045168</v>
      </c>
      <c r="D20" s="67">
        <v>16.726628537542545</v>
      </c>
      <c r="E20" s="67">
        <v>14.579483197835446</v>
      </c>
      <c r="F20" s="67">
        <v>10.393487460172024</v>
      </c>
      <c r="G20" s="67">
        <v>22.023074403278443</v>
      </c>
      <c r="H20" s="67">
        <v>22.948831664233687</v>
      </c>
      <c r="I20" s="67">
        <v>21.387869999999999</v>
      </c>
      <c r="J20" s="67">
        <v>5.5820863271722816</v>
      </c>
      <c r="K20" s="67">
        <v>20.281416666666665</v>
      </c>
      <c r="L20" s="67">
        <v>12.869167600150183</v>
      </c>
      <c r="M20" s="67">
        <v>17.820145229058152</v>
      </c>
      <c r="N20" s="67">
        <v>22.753419999999998</v>
      </c>
      <c r="O20" s="67">
        <v>20.519915550318132</v>
      </c>
      <c r="P20" s="67" t="s">
        <v>46</v>
      </c>
      <c r="Q20" s="67">
        <v>12.81572006508809</v>
      </c>
      <c r="R20" s="67">
        <v>24.190282168466112</v>
      </c>
      <c r="S20" s="67">
        <v>20.053966616703921</v>
      </c>
      <c r="T20" s="67">
        <v>22.132526798331785</v>
      </c>
      <c r="U20" s="67">
        <v>9.6523260000000004</v>
      </c>
      <c r="V20" s="67">
        <v>18.341444332211395</v>
      </c>
      <c r="W20" s="67">
        <v>28</v>
      </c>
      <c r="X20" s="67">
        <v>23.620830000000002</v>
      </c>
      <c r="Y20" s="67">
        <v>18.003234882803294</v>
      </c>
      <c r="Z20" s="67">
        <v>20.13986013986014</v>
      </c>
      <c r="AA20" s="67">
        <v>17.975034674063799</v>
      </c>
      <c r="AB20" s="67">
        <v>21.72777</v>
      </c>
      <c r="AC20" s="67">
        <v>26.235436490442797</v>
      </c>
      <c r="AD20" s="67">
        <v>12.268649999999999</v>
      </c>
      <c r="AE20" s="67">
        <v>20.385953553717655</v>
      </c>
      <c r="AF20" s="67">
        <v>27.528919999999999</v>
      </c>
      <c r="AG20" s="140"/>
      <c r="AH20" s="138">
        <v>14.989590562109647</v>
      </c>
      <c r="AI20" s="138">
        <v>8.2913394022041889</v>
      </c>
      <c r="AJ20" s="138">
        <v>9.2822820000000004</v>
      </c>
    </row>
    <row r="21" spans="1:248" ht="9.9499999999999993" customHeight="1">
      <c r="A21" s="150">
        <v>2.7</v>
      </c>
      <c r="B21" s="153" t="s">
        <v>19</v>
      </c>
      <c r="C21" s="101" t="s">
        <v>248</v>
      </c>
      <c r="D21" s="67">
        <v>1.7793482171824939</v>
      </c>
      <c r="E21" s="67" t="s">
        <v>248</v>
      </c>
      <c r="F21" s="67" t="s">
        <v>248</v>
      </c>
      <c r="G21" s="67" t="s">
        <v>248</v>
      </c>
      <c r="H21" s="67" t="s">
        <v>248</v>
      </c>
      <c r="I21" s="67">
        <v>10.19885</v>
      </c>
      <c r="J21" s="67">
        <v>0.82290304823126192</v>
      </c>
      <c r="K21" s="67">
        <v>2.9207716666666665</v>
      </c>
      <c r="L21" s="67" t="s">
        <v>248</v>
      </c>
      <c r="M21" s="67" t="s">
        <v>248</v>
      </c>
      <c r="N21" s="67" t="s">
        <v>248</v>
      </c>
      <c r="O21" s="67">
        <v>0.25934584551994472</v>
      </c>
      <c r="P21" s="99" t="s">
        <v>248</v>
      </c>
      <c r="Q21" s="67" t="s">
        <v>248</v>
      </c>
      <c r="R21" s="67" t="s">
        <v>248</v>
      </c>
      <c r="S21" s="67" t="s">
        <v>248</v>
      </c>
      <c r="T21" s="67" t="s">
        <v>248</v>
      </c>
      <c r="U21" s="67" t="s">
        <v>248</v>
      </c>
      <c r="V21" s="67">
        <v>0.74421321264513463</v>
      </c>
      <c r="W21" s="67" t="s">
        <v>248</v>
      </c>
      <c r="X21" s="67">
        <v>39.571190000000001</v>
      </c>
      <c r="Y21" s="67" t="s">
        <v>248</v>
      </c>
      <c r="Z21" s="67"/>
      <c r="AA21" s="67" t="s">
        <v>248</v>
      </c>
      <c r="AB21" s="67">
        <v>12.02112</v>
      </c>
      <c r="AC21" s="67">
        <v>7.1116249263136702</v>
      </c>
      <c r="AD21" s="67">
        <v>2.883251</v>
      </c>
      <c r="AE21" s="67" t="s">
        <v>248</v>
      </c>
      <c r="AF21" s="67">
        <v>2.9051680000000002</v>
      </c>
      <c r="AG21" s="140"/>
      <c r="AH21" s="138" t="s">
        <v>248</v>
      </c>
      <c r="AI21" s="138" t="s">
        <v>248</v>
      </c>
      <c r="AJ21" s="138">
        <v>13.260300000000001</v>
      </c>
    </row>
    <row r="22" spans="1:248" s="149" customFormat="1" ht="9.9499999999999993" customHeight="1">
      <c r="A22" s="145">
        <v>3</v>
      </c>
      <c r="B22" s="146" t="s">
        <v>20</v>
      </c>
      <c r="C22" s="188">
        <v>657.45656706045872</v>
      </c>
      <c r="D22" s="189">
        <v>632</v>
      </c>
      <c r="E22" s="189">
        <v>664.04635084985557</v>
      </c>
      <c r="F22" s="189">
        <v>636.57739181561203</v>
      </c>
      <c r="G22" s="189">
        <v>659.35929496339804</v>
      </c>
      <c r="H22" s="189">
        <v>662.67314489379692</v>
      </c>
      <c r="I22" s="189">
        <v>640.48988999999995</v>
      </c>
      <c r="J22" s="189">
        <v>752.24654409000573</v>
      </c>
      <c r="K22" s="189">
        <v>648.02253333333329</v>
      </c>
      <c r="L22" s="189">
        <v>684.60355546827157</v>
      </c>
      <c r="M22" s="189">
        <v>683.13915221000184</v>
      </c>
      <c r="N22" s="189">
        <v>608.91367000000002</v>
      </c>
      <c r="O22" s="189">
        <v>707.80821800252124</v>
      </c>
      <c r="P22" s="189">
        <v>620.61780063291098</v>
      </c>
      <c r="Q22" s="189">
        <v>677.84742107559794</v>
      </c>
      <c r="R22" s="189">
        <v>641.29620771174177</v>
      </c>
      <c r="S22" s="189">
        <v>645.5386495136155</v>
      </c>
      <c r="T22" s="189">
        <v>685.66823095217273</v>
      </c>
      <c r="U22" s="189">
        <v>633.58384000000001</v>
      </c>
      <c r="V22" s="189">
        <v>681.59062001420568</v>
      </c>
      <c r="W22" s="189">
        <v>648</v>
      </c>
      <c r="X22" s="189">
        <v>627.27292999999997</v>
      </c>
      <c r="Y22" s="189">
        <v>657.118824153643</v>
      </c>
      <c r="Z22" s="189">
        <v>675.69230769230774</v>
      </c>
      <c r="AA22" s="189">
        <v>628.12760055478498</v>
      </c>
      <c r="AB22" s="189">
        <v>691.79238999999995</v>
      </c>
      <c r="AC22" s="189">
        <v>622.4695254203599</v>
      </c>
      <c r="AD22" s="189">
        <v>681.7966899999999</v>
      </c>
      <c r="AE22" s="189">
        <v>645.20437434277028</v>
      </c>
      <c r="AF22" s="189">
        <v>651.58568000000002</v>
      </c>
      <c r="AG22" s="140"/>
      <c r="AH22" s="147">
        <v>693.51839000693963</v>
      </c>
      <c r="AI22" s="147">
        <v>687.48991476704919</v>
      </c>
      <c r="AJ22" s="147">
        <v>695.07884000000001</v>
      </c>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6"/>
      <c r="FO22" s="86"/>
      <c r="FP22" s="86"/>
      <c r="FQ22" s="86"/>
      <c r="FR22" s="86"/>
      <c r="FS22" s="86"/>
      <c r="FT22" s="86"/>
      <c r="FU22" s="86"/>
      <c r="FV22" s="86"/>
      <c r="FW22" s="86"/>
      <c r="FX22" s="86"/>
      <c r="FY22" s="86"/>
      <c r="FZ22" s="86"/>
      <c r="GA22" s="86"/>
      <c r="GB22" s="86"/>
      <c r="GC22" s="86"/>
      <c r="GD22" s="86"/>
      <c r="GE22" s="86"/>
      <c r="GF22" s="86"/>
      <c r="GG22" s="86"/>
      <c r="GH22" s="86"/>
      <c r="GI22" s="86"/>
      <c r="GJ22" s="86"/>
      <c r="GK22" s="86"/>
      <c r="GL22" s="86"/>
      <c r="GM22" s="86"/>
      <c r="GN22" s="86"/>
      <c r="GO22" s="86"/>
      <c r="GP22" s="86"/>
      <c r="GQ22" s="86"/>
      <c r="GR22" s="86"/>
      <c r="GS22" s="86"/>
      <c r="GT22" s="86"/>
      <c r="GU22" s="86"/>
      <c r="GV22" s="86"/>
      <c r="GW22" s="86"/>
      <c r="GX22" s="86"/>
      <c r="GY22" s="86"/>
      <c r="GZ22" s="86"/>
      <c r="HA22" s="86"/>
      <c r="HB22" s="86"/>
      <c r="HC22" s="86"/>
      <c r="HD22" s="86"/>
      <c r="HE22" s="86"/>
      <c r="HF22" s="86"/>
      <c r="HG22" s="86"/>
      <c r="HH22" s="86"/>
      <c r="HI22" s="86"/>
      <c r="HJ22" s="86"/>
      <c r="HK22" s="86"/>
      <c r="HL22" s="86"/>
      <c r="HM22" s="86"/>
      <c r="HN22" s="86"/>
      <c r="HO22" s="86"/>
      <c r="HP22" s="86"/>
      <c r="HQ22" s="86"/>
      <c r="HR22" s="86"/>
      <c r="HS22" s="86"/>
      <c r="HT22" s="86"/>
      <c r="HU22" s="86"/>
      <c r="HV22" s="86"/>
      <c r="HW22" s="86"/>
      <c r="HX22" s="86"/>
      <c r="HY22" s="86"/>
      <c r="HZ22" s="86"/>
      <c r="IA22" s="86"/>
      <c r="IB22" s="86"/>
      <c r="IC22" s="86"/>
      <c r="ID22" s="86"/>
      <c r="IE22" s="86"/>
      <c r="IF22" s="86"/>
      <c r="IG22" s="86"/>
      <c r="IH22" s="86"/>
      <c r="II22" s="86"/>
      <c r="IJ22" s="86"/>
      <c r="IK22" s="86"/>
      <c r="IL22" s="86"/>
      <c r="IM22" s="86"/>
      <c r="IN22" s="86"/>
    </row>
    <row r="23" spans="1:248" ht="9.9499999999999993" customHeight="1">
      <c r="A23" s="150">
        <v>3.1</v>
      </c>
      <c r="B23" s="151" t="s">
        <v>21</v>
      </c>
      <c r="C23" s="101">
        <v>512.35580264072269</v>
      </c>
      <c r="D23" s="67">
        <v>498.29162266732834</v>
      </c>
      <c r="E23" s="67">
        <v>512.86023944507031</v>
      </c>
      <c r="F23" s="67">
        <v>520</v>
      </c>
      <c r="G23" s="67">
        <v>488.60752360280503</v>
      </c>
      <c r="H23" s="67">
        <v>530.01527932441195</v>
      </c>
      <c r="I23" s="67">
        <v>508.2611</v>
      </c>
      <c r="J23" s="67">
        <v>512.97463006601299</v>
      </c>
      <c r="K23" s="67">
        <v>498.38150000000002</v>
      </c>
      <c r="L23" s="67">
        <v>500.03293481623052</v>
      </c>
      <c r="M23" s="67">
        <v>505.89669795063986</v>
      </c>
      <c r="N23" s="67">
        <v>491.25420000000003</v>
      </c>
      <c r="O23" s="67">
        <v>513.32088598242979</v>
      </c>
      <c r="P23" s="67">
        <v>444.14936708860762</v>
      </c>
      <c r="Q23" s="67">
        <v>471.35074889140753</v>
      </c>
      <c r="R23" s="67">
        <v>512.28976055896999</v>
      </c>
      <c r="S23" s="67">
        <v>503.06893841806334</v>
      </c>
      <c r="T23" s="67">
        <v>518.17335730136892</v>
      </c>
      <c r="U23" s="67">
        <v>498.69540000000001</v>
      </c>
      <c r="V23" s="67">
        <v>502.77631874819303</v>
      </c>
      <c r="W23" s="67">
        <v>526</v>
      </c>
      <c r="X23" s="67">
        <v>492.12389999999999</v>
      </c>
      <c r="Y23" s="67">
        <v>508.94066489793613</v>
      </c>
      <c r="Z23" s="67">
        <v>505.51048951048955</v>
      </c>
      <c r="AA23" s="67">
        <v>501.30374479889042</v>
      </c>
      <c r="AB23" s="67">
        <v>515.66189999999995</v>
      </c>
      <c r="AC23" s="67">
        <v>482.70098676994348</v>
      </c>
      <c r="AD23" s="67">
        <v>514.58169999999996</v>
      </c>
      <c r="AE23" s="67">
        <v>508.11057904086522</v>
      </c>
      <c r="AF23" s="67">
        <v>531.00170000000003</v>
      </c>
      <c r="AG23" s="140"/>
      <c r="AH23" s="138">
        <v>541.62387231089519</v>
      </c>
      <c r="AI23" s="138">
        <v>528.14137472816958</v>
      </c>
      <c r="AJ23" s="138">
        <v>553.14170000000001</v>
      </c>
    </row>
    <row r="24" spans="1:248" ht="9.9499999999999993" customHeight="1">
      <c r="A24" s="150">
        <v>3.2</v>
      </c>
      <c r="B24" s="153" t="s">
        <v>22</v>
      </c>
      <c r="C24" s="101">
        <v>89.06184850590688</v>
      </c>
      <c r="D24" s="67">
        <v>78.83640556233911</v>
      </c>
      <c r="E24" s="67">
        <v>98.516408364348706</v>
      </c>
      <c r="F24" s="67">
        <v>64.819712591585883</v>
      </c>
      <c r="G24" s="67">
        <v>119.15340996707874</v>
      </c>
      <c r="H24" s="67">
        <v>78.996206958996609</v>
      </c>
      <c r="I24" s="67">
        <v>80.645830000000004</v>
      </c>
      <c r="J24" s="67">
        <v>132.75710778104158</v>
      </c>
      <c r="K24" s="67">
        <v>94.963149999999999</v>
      </c>
      <c r="L24" s="67">
        <v>127.53410855795852</v>
      </c>
      <c r="M24" s="67">
        <v>101.12999975600407</v>
      </c>
      <c r="N24" s="67">
        <v>75.386560000000003</v>
      </c>
      <c r="O24" s="67">
        <v>126.97485465501927</v>
      </c>
      <c r="P24" s="67">
        <v>92.533808016877643</v>
      </c>
      <c r="Q24" s="67">
        <v>116.9425415210389</v>
      </c>
      <c r="R24" s="67">
        <v>88.867320953693778</v>
      </c>
      <c r="S24" s="67">
        <v>88.205404975788554</v>
      </c>
      <c r="T24" s="67">
        <v>112.22232739169974</v>
      </c>
      <c r="U24" s="67">
        <v>77.002549999999999</v>
      </c>
      <c r="V24" s="67">
        <v>114.30819035517595</v>
      </c>
      <c r="W24" s="67">
        <v>80</v>
      </c>
      <c r="X24" s="67">
        <v>79.379769999999994</v>
      </c>
      <c r="Y24" s="67">
        <v>90.718431379645509</v>
      </c>
      <c r="Z24" s="67">
        <v>111.77622377622379</v>
      </c>
      <c r="AA24" s="67">
        <v>85.88072122052705</v>
      </c>
      <c r="AB24" s="67">
        <v>125.5582</v>
      </c>
      <c r="AC24" s="67">
        <v>82.535617620690005</v>
      </c>
      <c r="AD24" s="67">
        <v>117.5817</v>
      </c>
      <c r="AE24" s="67">
        <v>79.252173945979465</v>
      </c>
      <c r="AF24" s="67">
        <v>61.968499999999999</v>
      </c>
      <c r="AG24" s="140"/>
      <c r="AH24" s="138">
        <v>99.93060374739764</v>
      </c>
      <c r="AI24" s="138">
        <v>83.855191600655957</v>
      </c>
      <c r="AJ24" s="138">
        <v>72.385310000000004</v>
      </c>
    </row>
    <row r="25" spans="1:248" ht="9.9499999999999993" customHeight="1">
      <c r="A25" s="150">
        <v>3.3</v>
      </c>
      <c r="B25" s="153" t="s">
        <v>23</v>
      </c>
      <c r="C25" s="101">
        <v>56.038915913829051</v>
      </c>
      <c r="D25" s="67">
        <v>54.956889898288104</v>
      </c>
      <c r="E25" s="67">
        <v>52.669703040436566</v>
      </c>
      <c r="F25" s="67">
        <v>52.03722931810475</v>
      </c>
      <c r="G25" s="67">
        <v>51.598361393514267</v>
      </c>
      <c r="H25" s="67">
        <v>53.661658610388415</v>
      </c>
      <c r="I25" s="67">
        <v>51.58296</v>
      </c>
      <c r="J25" s="67">
        <v>106.51480624295114</v>
      </c>
      <c r="K25" s="67">
        <v>54.677883333333327</v>
      </c>
      <c r="L25" s="67">
        <v>57.036512094082539</v>
      </c>
      <c r="M25" s="67">
        <v>76.112454503358023</v>
      </c>
      <c r="N25" s="67">
        <v>42.272910000000003</v>
      </c>
      <c r="O25" s="67">
        <v>67.512477365072243</v>
      </c>
      <c r="P25" s="67">
        <v>83.934625527426164</v>
      </c>
      <c r="Q25" s="67">
        <v>89.554130663151426</v>
      </c>
      <c r="R25" s="67">
        <v>40.139126199077957</v>
      </c>
      <c r="S25" s="67">
        <v>54.26430611976361</v>
      </c>
      <c r="T25" s="67">
        <v>55.272546259104004</v>
      </c>
      <c r="U25" s="67">
        <v>57.885890000000003</v>
      </c>
      <c r="V25" s="67">
        <v>64.506110910836597</v>
      </c>
      <c r="W25" s="67">
        <v>42</v>
      </c>
      <c r="X25" s="67">
        <v>55.769260000000003</v>
      </c>
      <c r="Y25" s="67">
        <v>57.459727876061407</v>
      </c>
      <c r="Z25" s="67">
        <v>58.405594405594407</v>
      </c>
      <c r="AA25" s="67">
        <v>40.943134535367548</v>
      </c>
      <c r="AB25" s="67">
        <v>50.572290000000002</v>
      </c>
      <c r="AC25" s="67">
        <v>57.232921029731273</v>
      </c>
      <c r="AD25" s="67">
        <v>49.633290000000002</v>
      </c>
      <c r="AE25" s="67">
        <v>57.841621355925632</v>
      </c>
      <c r="AF25" s="67">
        <v>58.615479999999998</v>
      </c>
      <c r="AG25" s="140"/>
      <c r="AH25" s="138">
        <v>51.963913948646777</v>
      </c>
      <c r="AI25" s="138">
        <v>75.493348438223663</v>
      </c>
      <c r="AJ25" s="138">
        <v>69.551829999999995</v>
      </c>
    </row>
    <row r="26" spans="1:248" s="149" customFormat="1" ht="9.9499999999999993" customHeight="1">
      <c r="A26" s="145">
        <v>4</v>
      </c>
      <c r="B26" s="146" t="s">
        <v>24</v>
      </c>
      <c r="C26" s="188">
        <v>281.19527449617789</v>
      </c>
      <c r="D26" s="189">
        <v>291.20930867475204</v>
      </c>
      <c r="E26" s="189">
        <v>339.3501437357283</v>
      </c>
      <c r="F26" s="189">
        <v>278.93344629218751</v>
      </c>
      <c r="G26" s="189">
        <v>328.84481308687708</v>
      </c>
      <c r="H26" s="189">
        <v>309.40707964466696</v>
      </c>
      <c r="I26" s="189">
        <v>330.988722</v>
      </c>
      <c r="J26" s="189">
        <v>293.54264720486071</v>
      </c>
      <c r="K26" s="189">
        <v>331.15183500000001</v>
      </c>
      <c r="L26" s="189">
        <v>341.39119829430177</v>
      </c>
      <c r="M26" s="189">
        <v>281.34970132325799</v>
      </c>
      <c r="N26" s="189">
        <v>312.31157999999999</v>
      </c>
      <c r="O26" s="189">
        <v>323.25861693889669</v>
      </c>
      <c r="P26" s="189">
        <v>264.11277689873401</v>
      </c>
      <c r="Q26" s="189">
        <v>258.26020384104919</v>
      </c>
      <c r="R26" s="189">
        <v>268.84131411538192</v>
      </c>
      <c r="S26" s="189">
        <v>246.60680300744264</v>
      </c>
      <c r="T26" s="189">
        <v>276.38569977914409</v>
      </c>
      <c r="U26" s="189">
        <v>171.92742699999999</v>
      </c>
      <c r="V26" s="189">
        <v>314.76399484600472</v>
      </c>
      <c r="W26" s="189">
        <v>301</v>
      </c>
      <c r="X26" s="189">
        <v>368.24329699999998</v>
      </c>
      <c r="Y26" s="189">
        <v>286.15438793017466</v>
      </c>
      <c r="Z26" s="189">
        <v>240.67132867132867</v>
      </c>
      <c r="AA26" s="189">
        <v>310.56865464632455</v>
      </c>
      <c r="AB26" s="189">
        <v>316.04926599999999</v>
      </c>
      <c r="AC26" s="189">
        <v>321.48457251321298</v>
      </c>
      <c r="AD26" s="189">
        <v>285.730729</v>
      </c>
      <c r="AE26" s="189">
        <v>305.5309365147898</v>
      </c>
      <c r="AF26" s="189">
        <v>285.523233</v>
      </c>
      <c r="AG26" s="140"/>
      <c r="AH26" s="147">
        <v>227.84177654406665</v>
      </c>
      <c r="AI26" s="147">
        <v>253.99612273410077</v>
      </c>
      <c r="AJ26" s="147">
        <v>305.89819599999998</v>
      </c>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6"/>
      <c r="FO26" s="86"/>
      <c r="FP26" s="86"/>
      <c r="FQ26" s="86"/>
      <c r="FR26" s="86"/>
      <c r="FS26" s="86"/>
      <c r="FT26" s="86"/>
      <c r="FU26" s="86"/>
      <c r="FV26" s="86"/>
      <c r="FW26" s="86"/>
      <c r="FX26" s="86"/>
      <c r="FY26" s="86"/>
      <c r="FZ26" s="86"/>
      <c r="GA26" s="86"/>
      <c r="GB26" s="86"/>
      <c r="GC26" s="86"/>
      <c r="GD26" s="86"/>
      <c r="GE26" s="86"/>
      <c r="GF26" s="86"/>
      <c r="GG26" s="86"/>
      <c r="GH26" s="86"/>
      <c r="GI26" s="86"/>
      <c r="GJ26" s="86"/>
      <c r="GK26" s="86"/>
      <c r="GL26" s="86"/>
      <c r="GM26" s="86"/>
      <c r="GN26" s="86"/>
      <c r="GO26" s="86"/>
      <c r="GP26" s="86"/>
      <c r="GQ26" s="86"/>
      <c r="GR26" s="86"/>
      <c r="GS26" s="86"/>
      <c r="GT26" s="86"/>
      <c r="GU26" s="86"/>
      <c r="GV26" s="86"/>
      <c r="GW26" s="86"/>
      <c r="GX26" s="86"/>
      <c r="GY26" s="86"/>
      <c r="GZ26" s="86"/>
      <c r="HA26" s="86"/>
      <c r="HB26" s="86"/>
      <c r="HC26" s="86"/>
      <c r="HD26" s="86"/>
      <c r="HE26" s="86"/>
      <c r="HF26" s="86"/>
      <c r="HG26" s="86"/>
      <c r="HH26" s="86"/>
      <c r="HI26" s="86"/>
      <c r="HJ26" s="86"/>
      <c r="HK26" s="86"/>
      <c r="HL26" s="86"/>
      <c r="HM26" s="86"/>
      <c r="HN26" s="86"/>
      <c r="HO26" s="86"/>
      <c r="HP26" s="86"/>
      <c r="HQ26" s="86"/>
      <c r="HR26" s="86"/>
      <c r="HS26" s="86"/>
      <c r="HT26" s="86"/>
      <c r="HU26" s="86"/>
      <c r="HV26" s="86"/>
      <c r="HW26" s="86"/>
      <c r="HX26" s="86"/>
      <c r="HY26" s="86"/>
      <c r="HZ26" s="86"/>
      <c r="IA26" s="86"/>
      <c r="IB26" s="86"/>
      <c r="IC26" s="86"/>
      <c r="ID26" s="86"/>
      <c r="IE26" s="86"/>
      <c r="IF26" s="86"/>
      <c r="IG26" s="86"/>
      <c r="IH26" s="86"/>
      <c r="II26" s="86"/>
      <c r="IJ26" s="86"/>
      <c r="IK26" s="86"/>
      <c r="IL26" s="86"/>
      <c r="IM26" s="86"/>
      <c r="IN26" s="86"/>
    </row>
    <row r="27" spans="1:248" ht="9.9499999999999993" customHeight="1">
      <c r="A27" s="150">
        <v>4.0999999999999996</v>
      </c>
      <c r="B27" s="155" t="s">
        <v>25</v>
      </c>
      <c r="C27" s="101">
        <v>19.013203613620568</v>
      </c>
      <c r="D27" s="67">
        <v>32.078530000000001</v>
      </c>
      <c r="E27" s="67">
        <v>21.016577453322085</v>
      </c>
      <c r="F27" s="67">
        <v>20.998791182177293</v>
      </c>
      <c r="G27" s="67">
        <v>22.115072429813779</v>
      </c>
      <c r="H27" s="67">
        <v>27.474674349967735</v>
      </c>
      <c r="I27" s="67">
        <v>37.230849999999997</v>
      </c>
      <c r="J27" s="67">
        <v>11.9611007010534</v>
      </c>
      <c r="K27" s="67">
        <v>26.43525</v>
      </c>
      <c r="L27" s="67">
        <v>27.687647892343549</v>
      </c>
      <c r="M27" s="67">
        <v>12.931679252410685</v>
      </c>
      <c r="N27" s="67">
        <v>20.02075</v>
      </c>
      <c r="O27" s="67">
        <v>38.214085977502052</v>
      </c>
      <c r="P27" s="67">
        <v>9.9307621308016873</v>
      </c>
      <c r="Q27" s="67">
        <v>27.188580130647171</v>
      </c>
      <c r="R27" s="67">
        <v>24.990631279523889</v>
      </c>
      <c r="S27" s="67">
        <v>15.962224001095137</v>
      </c>
      <c r="T27" s="67">
        <v>33.237082050751781</v>
      </c>
      <c r="U27" s="67">
        <v>13.57335</v>
      </c>
      <c r="V27" s="67">
        <v>22.399997144600977</v>
      </c>
      <c r="W27" s="67">
        <v>17</v>
      </c>
      <c r="X27" s="67">
        <v>20.90907</v>
      </c>
      <c r="Y27" s="67">
        <v>23.244835450771792</v>
      </c>
      <c r="Z27" s="67">
        <v>12.083916083916083</v>
      </c>
      <c r="AA27" s="67">
        <v>31.955617198335645</v>
      </c>
      <c r="AB27" s="67">
        <v>41.877960000000002</v>
      </c>
      <c r="AC27" s="67">
        <v>34.343945080217395</v>
      </c>
      <c r="AD27" s="67">
        <v>9.4654690000000006</v>
      </c>
      <c r="AE27" s="67">
        <v>19.362315398020446</v>
      </c>
      <c r="AF27" s="67">
        <v>19.777010000000001</v>
      </c>
      <c r="AG27" s="140"/>
      <c r="AH27" s="138">
        <v>22.984038861901457</v>
      </c>
      <c r="AI27" s="138">
        <v>5.4987046680172682</v>
      </c>
      <c r="AJ27" s="138">
        <v>5.085051</v>
      </c>
    </row>
    <row r="28" spans="1:248" ht="9.9499999999999993" customHeight="1">
      <c r="A28" s="150">
        <v>4.2</v>
      </c>
      <c r="B28" s="153" t="s">
        <v>26</v>
      </c>
      <c r="C28" s="101">
        <v>6.004169562195969</v>
      </c>
      <c r="D28" s="67">
        <v>9.4315519999999999</v>
      </c>
      <c r="E28" s="67">
        <v>15.365885508381385</v>
      </c>
      <c r="F28" s="67">
        <v>5.6058645351740521</v>
      </c>
      <c r="G28" s="67">
        <v>7.4393849701311812</v>
      </c>
      <c r="H28" s="67">
        <v>7.861109817244885</v>
      </c>
      <c r="I28" s="67">
        <v>7.7142920000000004</v>
      </c>
      <c r="J28" s="67">
        <v>14.842220869919055</v>
      </c>
      <c r="K28" s="67">
        <v>13.528251666666668</v>
      </c>
      <c r="L28" s="67">
        <v>5.0861775222942098</v>
      </c>
      <c r="M28" s="67">
        <v>5.6407005961715173</v>
      </c>
      <c r="N28" s="67">
        <v>41.727780000000003</v>
      </c>
      <c r="O28" s="67">
        <v>5.8233125546677647</v>
      </c>
      <c r="P28" s="67" t="s">
        <v>248</v>
      </c>
      <c r="Q28" s="67">
        <v>4.4493138434970723</v>
      </c>
      <c r="R28" s="67">
        <v>4.7963008260519171</v>
      </c>
      <c r="S28" s="67">
        <v>1.346944277184978</v>
      </c>
      <c r="T28" s="67">
        <v>12.44199549803934</v>
      </c>
      <c r="U28" s="67">
        <v>7.2061970000000004</v>
      </c>
      <c r="V28" s="67">
        <v>6.6449189958989336</v>
      </c>
      <c r="W28" s="67">
        <v>6</v>
      </c>
      <c r="X28" s="67">
        <v>8.0566270000000006</v>
      </c>
      <c r="Y28" s="67">
        <v>2.8145949599315601</v>
      </c>
      <c r="Z28" s="67">
        <v>10.573426573426573</v>
      </c>
      <c r="AA28" s="67">
        <v>4.993065187239945</v>
      </c>
      <c r="AB28" s="67">
        <v>9.2118359999999999</v>
      </c>
      <c r="AC28" s="67">
        <v>8.8201251062107993</v>
      </c>
      <c r="AD28" s="67">
        <v>2.5805099999999999</v>
      </c>
      <c r="AE28" s="67">
        <v>7.013407728764264</v>
      </c>
      <c r="AF28" s="67">
        <v>6.9007529999999999</v>
      </c>
      <c r="AG28" s="140"/>
      <c r="AH28" s="138">
        <v>1.9986120749479528</v>
      </c>
      <c r="AI28" s="138">
        <v>4.6092055871927444</v>
      </c>
      <c r="AJ28" s="138">
        <v>5.1077050000000002</v>
      </c>
    </row>
    <row r="29" spans="1:248" ht="9.9499999999999993" customHeight="1">
      <c r="A29" s="150">
        <v>4.3</v>
      </c>
      <c r="B29" s="151" t="s">
        <v>27</v>
      </c>
      <c r="C29" s="101">
        <v>40.006949270326601</v>
      </c>
      <c r="D29" s="67">
        <v>81.770629999999997</v>
      </c>
      <c r="E29" s="67">
        <v>50.476242090157889</v>
      </c>
      <c r="F29" s="67">
        <v>53.476652016212057</v>
      </c>
      <c r="G29" s="67">
        <v>81.371521458505086</v>
      </c>
      <c r="H29" s="67">
        <v>37.624863200050292</v>
      </c>
      <c r="I29" s="67">
        <v>54.645980000000002</v>
      </c>
      <c r="J29" s="67">
        <v>55.20107323539623</v>
      </c>
      <c r="K29" s="67">
        <v>60.646949999999997</v>
      </c>
      <c r="L29" s="67">
        <v>56.327788336975217</v>
      </c>
      <c r="M29" s="67">
        <v>35.133410175558687</v>
      </c>
      <c r="N29" s="67">
        <v>48.954450000000001</v>
      </c>
      <c r="O29" s="67">
        <v>65.35720679671374</v>
      </c>
      <c r="P29" s="67">
        <v>17.356975210970464</v>
      </c>
      <c r="Q29" s="67">
        <v>42.215919827237563</v>
      </c>
      <c r="R29" s="67">
        <v>35.084831672702961</v>
      </c>
      <c r="S29" s="67">
        <v>31.78246079106755</v>
      </c>
      <c r="T29" s="67">
        <v>32.301265480461019</v>
      </c>
      <c r="U29" s="67">
        <v>44.155830000000002</v>
      </c>
      <c r="V29" s="67">
        <v>72.561856865985433</v>
      </c>
      <c r="W29" s="67">
        <v>69</v>
      </c>
      <c r="X29" s="67">
        <v>57.0152</v>
      </c>
      <c r="Y29" s="67">
        <v>45.137010330567357</v>
      </c>
      <c r="Z29" s="67">
        <v>43.804195804195807</v>
      </c>
      <c r="AA29" s="67">
        <v>61.914008321775313</v>
      </c>
      <c r="AB29" s="67">
        <v>50.793500000000002</v>
      </c>
      <c r="AC29" s="67">
        <v>52.703188099824906</v>
      </c>
      <c r="AD29" s="67">
        <v>68.120159999999998</v>
      </c>
      <c r="AE29" s="67">
        <v>47.42831765130417</v>
      </c>
      <c r="AF29" s="67">
        <v>42.913739999999997</v>
      </c>
      <c r="AG29" s="140"/>
      <c r="AH29" s="138">
        <v>22.984038861901457</v>
      </c>
      <c r="AI29" s="138">
        <v>73.257531310254521</v>
      </c>
      <c r="AJ29" s="138">
        <v>82.146140000000003</v>
      </c>
    </row>
    <row r="30" spans="1:248" ht="9.9499999999999993" customHeight="1">
      <c r="A30" s="150">
        <v>4.4000000000000004</v>
      </c>
      <c r="B30" s="151" t="s">
        <v>28</v>
      </c>
      <c r="C30" s="101">
        <v>140.09728978457267</v>
      </c>
      <c r="D30" s="67">
        <v>108.82629667475206</v>
      </c>
      <c r="E30" s="67">
        <v>130.56785599087419</v>
      </c>
      <c r="F30" s="67">
        <v>109.37061833330586</v>
      </c>
      <c r="G30" s="67">
        <v>122.97380825958031</v>
      </c>
      <c r="H30" s="67">
        <v>122.16253682495501</v>
      </c>
      <c r="I30" s="67">
        <v>118.1499</v>
      </c>
      <c r="J30" s="67">
        <v>113.84890667281091</v>
      </c>
      <c r="K30" s="67">
        <v>118.46509999999999</v>
      </c>
      <c r="L30" s="67">
        <v>136.96944778092217</v>
      </c>
      <c r="M30" s="67">
        <v>133.89768678936619</v>
      </c>
      <c r="N30" s="67">
        <v>85.135099999999994</v>
      </c>
      <c r="O30" s="67">
        <v>103.69272210894766</v>
      </c>
      <c r="P30" s="67">
        <v>97.107133438818565</v>
      </c>
      <c r="Q30" s="67">
        <v>102.00117609047734</v>
      </c>
      <c r="R30" s="67">
        <v>123.29731679890583</v>
      </c>
      <c r="S30" s="67">
        <v>136.78433735237309</v>
      </c>
      <c r="T30" s="67">
        <v>116.07331991759663</v>
      </c>
      <c r="U30" s="67">
        <v>65.659930000000003</v>
      </c>
      <c r="V30" s="67">
        <v>112.52282356132505</v>
      </c>
      <c r="W30" s="67">
        <v>124</v>
      </c>
      <c r="X30" s="67">
        <v>128.6927</v>
      </c>
      <c r="Y30" s="67">
        <v>121.83656389840486</v>
      </c>
      <c r="Z30" s="67">
        <v>113.79020979020979</v>
      </c>
      <c r="AA30" s="67">
        <v>119.83356449375867</v>
      </c>
      <c r="AB30" s="67">
        <v>129.44040000000001</v>
      </c>
      <c r="AC30" s="67">
        <v>113.294143192852</v>
      </c>
      <c r="AD30" s="67">
        <v>124.0316</v>
      </c>
      <c r="AE30" s="67">
        <v>133.31918590437161</v>
      </c>
      <c r="AF30" s="67">
        <v>143.696</v>
      </c>
      <c r="AG30" s="140"/>
      <c r="AH30" s="138">
        <v>126.91186675919501</v>
      </c>
      <c r="AI30" s="138">
        <v>61.43724169710584</v>
      </c>
      <c r="AJ30" s="138">
        <v>131.7347</v>
      </c>
    </row>
    <row r="31" spans="1:248" ht="9.9499999999999993" customHeight="1">
      <c r="A31" s="150">
        <v>4.5</v>
      </c>
      <c r="B31" s="151" t="s">
        <v>29</v>
      </c>
      <c r="C31" s="101">
        <v>76.073662265462005</v>
      </c>
      <c r="D31" s="67">
        <v>59.1023</v>
      </c>
      <c r="E31" s="67">
        <v>121.92358269299274</v>
      </c>
      <c r="F31" s="67">
        <v>89.481520225318235</v>
      </c>
      <c r="G31" s="67">
        <v>94.945025968846736</v>
      </c>
      <c r="H31" s="67">
        <v>114.283895452449</v>
      </c>
      <c r="I31" s="67">
        <v>113.24769999999999</v>
      </c>
      <c r="J31" s="67">
        <v>97.689345725681093</v>
      </c>
      <c r="K31" s="67">
        <v>112.07628333333334</v>
      </c>
      <c r="L31" s="67">
        <v>115.32013676176663</v>
      </c>
      <c r="M31" s="67">
        <v>93.746224509750945</v>
      </c>
      <c r="N31" s="67">
        <v>116.4735</v>
      </c>
      <c r="O31" s="67">
        <v>110.17128950106543</v>
      </c>
      <c r="P31" s="67">
        <v>139.71790611814347</v>
      </c>
      <c r="Q31" s="67">
        <v>82.405213949190042</v>
      </c>
      <c r="R31" s="67">
        <v>80.672233538197347</v>
      </c>
      <c r="S31" s="67">
        <v>60.730836585721889</v>
      </c>
      <c r="T31" s="67">
        <v>82.33203683229533</v>
      </c>
      <c r="U31" s="67">
        <v>41.332120000000003</v>
      </c>
      <c r="V31" s="67">
        <v>100.63439827819438</v>
      </c>
      <c r="W31" s="67">
        <v>85</v>
      </c>
      <c r="X31" s="67">
        <v>153.56970000000001</v>
      </c>
      <c r="Y31" s="67">
        <v>93.121383290499125</v>
      </c>
      <c r="Z31" s="67">
        <v>60.419580419580399</v>
      </c>
      <c r="AA31" s="67">
        <v>91.872399445214981</v>
      </c>
      <c r="AB31" s="67">
        <v>84.725570000000005</v>
      </c>
      <c r="AC31" s="67">
        <v>112.323171034108</v>
      </c>
      <c r="AD31" s="67">
        <v>81.532989999999998</v>
      </c>
      <c r="AE31" s="67">
        <v>98.407709832329331</v>
      </c>
      <c r="AF31" s="67">
        <v>72.235730000000004</v>
      </c>
      <c r="AG31" s="140"/>
      <c r="AH31" s="138">
        <v>52.963219986120748</v>
      </c>
      <c r="AI31" s="138">
        <v>109.19343947153037</v>
      </c>
      <c r="AJ31" s="138">
        <v>81.824600000000004</v>
      </c>
    </row>
    <row r="32" spans="1:248" s="149" customFormat="1" ht="9.9499999999999993" customHeight="1">
      <c r="A32" s="145">
        <v>5</v>
      </c>
      <c r="B32" s="146" t="s">
        <v>30</v>
      </c>
      <c r="C32" s="188">
        <v>20.01389854065323</v>
      </c>
      <c r="D32" s="189">
        <v>8.4071387431152047</v>
      </c>
      <c r="E32" s="189">
        <v>9.2212800257505485</v>
      </c>
      <c r="F32" s="189">
        <v>33.913959624558181</v>
      </c>
      <c r="G32" s="189">
        <v>10.351956938702461</v>
      </c>
      <c r="H32" s="189">
        <v>5</v>
      </c>
      <c r="I32" s="189">
        <v>42.547142000000001</v>
      </c>
      <c r="J32" s="189">
        <v>8.9471145244003232</v>
      </c>
      <c r="K32" s="189">
        <v>17.013493333333333</v>
      </c>
      <c r="L32" s="189">
        <v>6.0942069796304237</v>
      </c>
      <c r="M32" s="189">
        <v>8.738187048738542</v>
      </c>
      <c r="N32" s="189">
        <v>41.172009000000003</v>
      </c>
      <c r="O32" s="189">
        <v>13.185361459159635</v>
      </c>
      <c r="P32" s="189">
        <v>46.553533755274302</v>
      </c>
      <c r="Q32" s="189">
        <v>27.733579864387764</v>
      </c>
      <c r="R32" s="189">
        <v>3.8495074068550146</v>
      </c>
      <c r="S32" s="189">
        <v>8.1680722499443998</v>
      </c>
      <c r="T32" s="189">
        <v>14.063417194944442</v>
      </c>
      <c r="U32" s="189">
        <v>21.448615</v>
      </c>
      <c r="V32" s="189">
        <v>15.296654685888262</v>
      </c>
      <c r="W32" s="189">
        <v>17</v>
      </c>
      <c r="X32" s="189">
        <v>7.2344950000000008</v>
      </c>
      <c r="Y32" s="189">
        <v>11.220911471578617</v>
      </c>
      <c r="Z32" s="189">
        <v>6.0419580419580416</v>
      </c>
      <c r="AA32" s="189">
        <v>5.9916782246879334</v>
      </c>
      <c r="AB32" s="189">
        <v>13.424608000000001</v>
      </c>
      <c r="AC32" s="189">
        <v>6.1398565136318801</v>
      </c>
      <c r="AD32" s="189">
        <v>40.096759000000006</v>
      </c>
      <c r="AE32" s="189">
        <v>32.471894215939798</v>
      </c>
      <c r="AF32" s="189">
        <v>23.838159000000001</v>
      </c>
      <c r="AG32" s="140"/>
      <c r="AH32" s="147">
        <v>14.989590562109647</v>
      </c>
      <c r="AI32" s="147">
        <v>12.388402873825923</v>
      </c>
      <c r="AJ32" s="147">
        <v>16.162131299999999</v>
      </c>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86"/>
      <c r="DB32" s="86"/>
      <c r="DC32" s="86"/>
      <c r="DD32" s="86"/>
      <c r="DE32" s="86"/>
      <c r="DF32" s="86"/>
      <c r="DG32" s="86"/>
      <c r="DH32" s="86"/>
      <c r="DI32" s="86"/>
      <c r="DJ32" s="86"/>
      <c r="DK32" s="86"/>
      <c r="DL32" s="86"/>
      <c r="DM32" s="86"/>
      <c r="DN32" s="86"/>
      <c r="DO32" s="86"/>
      <c r="DP32" s="86"/>
      <c r="DQ32" s="86"/>
      <c r="DR32" s="86"/>
      <c r="DS32" s="86"/>
      <c r="DT32" s="86"/>
      <c r="DU32" s="86"/>
      <c r="DV32" s="86"/>
      <c r="DW32" s="86"/>
      <c r="DX32" s="86"/>
      <c r="DY32" s="86"/>
      <c r="DZ32" s="86"/>
      <c r="EA32" s="86"/>
      <c r="EB32" s="86"/>
      <c r="EC32" s="86"/>
      <c r="ED32" s="86"/>
      <c r="EE32" s="86"/>
      <c r="EF32" s="86"/>
      <c r="EG32" s="86"/>
      <c r="EH32" s="86"/>
      <c r="EI32" s="86"/>
      <c r="EJ32" s="86"/>
      <c r="EK32" s="86"/>
      <c r="EL32" s="86"/>
      <c r="EM32" s="86"/>
      <c r="EN32" s="86"/>
      <c r="EO32" s="86"/>
      <c r="EP32" s="86"/>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6"/>
      <c r="FO32" s="86"/>
      <c r="FP32" s="86"/>
      <c r="FQ32" s="86"/>
      <c r="FR32" s="86"/>
      <c r="FS32" s="86"/>
      <c r="FT32" s="86"/>
      <c r="FU32" s="86"/>
      <c r="FV32" s="86"/>
      <c r="FW32" s="86"/>
      <c r="FX32" s="86"/>
      <c r="FY32" s="86"/>
      <c r="FZ32" s="86"/>
      <c r="GA32" s="86"/>
      <c r="GB32" s="86"/>
      <c r="GC32" s="86"/>
      <c r="GD32" s="86"/>
      <c r="GE32" s="86"/>
      <c r="GF32" s="86"/>
      <c r="GG32" s="86"/>
      <c r="GH32" s="86"/>
      <c r="GI32" s="86"/>
      <c r="GJ32" s="86"/>
      <c r="GK32" s="86"/>
      <c r="GL32" s="86"/>
      <c r="GM32" s="86"/>
      <c r="GN32" s="86"/>
      <c r="GO32" s="86"/>
      <c r="GP32" s="86"/>
      <c r="GQ32" s="86"/>
      <c r="GR32" s="86"/>
      <c r="GS32" s="86"/>
      <c r="GT32" s="86"/>
      <c r="GU32" s="86"/>
      <c r="GV32" s="86"/>
      <c r="GW32" s="86"/>
      <c r="GX32" s="86"/>
      <c r="GY32" s="86"/>
      <c r="GZ32" s="86"/>
      <c r="HA32" s="86"/>
      <c r="HB32" s="86"/>
      <c r="HC32" s="86"/>
      <c r="HD32" s="86"/>
      <c r="HE32" s="86"/>
      <c r="HF32" s="86"/>
      <c r="HG32" s="86"/>
      <c r="HH32" s="86"/>
      <c r="HI32" s="86"/>
      <c r="HJ32" s="86"/>
      <c r="HK32" s="86"/>
      <c r="HL32" s="86"/>
      <c r="HM32" s="86"/>
      <c r="HN32" s="86"/>
      <c r="HO32" s="86"/>
      <c r="HP32" s="86"/>
      <c r="HQ32" s="86"/>
      <c r="HR32" s="86"/>
      <c r="HS32" s="86"/>
      <c r="HT32" s="86"/>
      <c r="HU32" s="86"/>
      <c r="HV32" s="86"/>
      <c r="HW32" s="86"/>
      <c r="HX32" s="86"/>
      <c r="HY32" s="86"/>
      <c r="HZ32" s="86"/>
      <c r="IA32" s="86"/>
      <c r="IB32" s="86"/>
      <c r="IC32" s="86"/>
      <c r="ID32" s="86"/>
      <c r="IE32" s="86"/>
      <c r="IF32" s="86"/>
      <c r="IG32" s="86"/>
      <c r="IH32" s="86"/>
      <c r="II32" s="86"/>
      <c r="IJ32" s="86"/>
      <c r="IK32" s="86"/>
      <c r="IL32" s="86"/>
      <c r="IM32" s="86"/>
      <c r="IN32" s="86"/>
    </row>
    <row r="33" spans="1:248" ht="9.9499999999999993" customHeight="1">
      <c r="A33" s="150">
        <v>5.0999999999999996</v>
      </c>
      <c r="B33" s="153" t="s">
        <v>31</v>
      </c>
      <c r="C33" s="101">
        <v>13.009034051424599</v>
      </c>
      <c r="D33" s="67">
        <v>3.303075899072681</v>
      </c>
      <c r="E33" s="67">
        <v>2.7131717684039982</v>
      </c>
      <c r="F33" s="67">
        <v>3.9343417053583352</v>
      </c>
      <c r="G33" s="67">
        <v>5.8841604402159895</v>
      </c>
      <c r="H33" s="67">
        <v>1</v>
      </c>
      <c r="I33" s="67">
        <v>1.087882</v>
      </c>
      <c r="J33" s="67">
        <v>2.661367155985686</v>
      </c>
      <c r="K33" s="67">
        <v>2.6110766666666669</v>
      </c>
      <c r="L33" s="67">
        <v>3.0894639127902055</v>
      </c>
      <c r="M33" s="67">
        <v>1.2745982903542952</v>
      </c>
      <c r="N33" s="67">
        <v>5.8322390000000004</v>
      </c>
      <c r="O33" s="67">
        <v>6.9229959537887309</v>
      </c>
      <c r="P33" s="67" t="s">
        <v>248</v>
      </c>
      <c r="Q33" s="67">
        <v>9.4970071607061577</v>
      </c>
      <c r="R33" s="67">
        <v>1.715576090028234</v>
      </c>
      <c r="S33" s="67">
        <v>3.0495357882392153</v>
      </c>
      <c r="T33" s="67">
        <v>3.4990892676757634</v>
      </c>
      <c r="U33" s="67">
        <v>20.398109999999999</v>
      </c>
      <c r="V33" s="67">
        <v>5.6939049366279884</v>
      </c>
      <c r="W33" s="67">
        <v>9</v>
      </c>
      <c r="X33" s="67">
        <v>2.2869280000000001</v>
      </c>
      <c r="Y33" s="67">
        <v>8.5402350675583882</v>
      </c>
      <c r="Z33" s="67">
        <v>5.034965034965035</v>
      </c>
      <c r="AA33" s="67">
        <v>3.9944521497919556</v>
      </c>
      <c r="AB33" s="67">
        <v>4.2196870000000004</v>
      </c>
      <c r="AC33" s="67" t="s">
        <v>248</v>
      </c>
      <c r="AD33" s="67">
        <v>33.458820000000003</v>
      </c>
      <c r="AE33" s="67">
        <v>4.3576177197214188</v>
      </c>
      <c r="AF33" s="67">
        <v>7.9663890000000004</v>
      </c>
      <c r="AG33" s="140"/>
      <c r="AH33" s="138" t="s">
        <v>248</v>
      </c>
      <c r="AI33" s="138">
        <v>12.388402873825923</v>
      </c>
      <c r="AJ33" s="138">
        <v>16.16132</v>
      </c>
    </row>
    <row r="34" spans="1:248" ht="9.9499999999999993" customHeight="1">
      <c r="A34" s="156">
        <v>5.2</v>
      </c>
      <c r="B34" s="157" t="s">
        <v>32</v>
      </c>
      <c r="C34" s="101">
        <v>7.0048644892286314</v>
      </c>
      <c r="D34" s="67">
        <v>5.1040628440425246</v>
      </c>
      <c r="E34" s="67">
        <v>6.5081082573465494</v>
      </c>
      <c r="F34" s="67">
        <v>29.97961791919985</v>
      </c>
      <c r="G34" s="67">
        <v>4.4677964984864715</v>
      </c>
      <c r="H34" s="67">
        <v>4</v>
      </c>
      <c r="I34" s="67">
        <v>41.45926</v>
      </c>
      <c r="J34" s="67">
        <v>6.2857473684146363</v>
      </c>
      <c r="K34" s="67">
        <v>14.402416666666666</v>
      </c>
      <c r="L34" s="67">
        <v>3.0047430668402177</v>
      </c>
      <c r="M34" s="67">
        <v>7.4635887583842475</v>
      </c>
      <c r="N34" s="67">
        <v>35.339770000000001</v>
      </c>
      <c r="O34" s="67">
        <v>6.262365505370906</v>
      </c>
      <c r="P34" s="67">
        <v>46.553533755274259</v>
      </c>
      <c r="Q34" s="67">
        <v>18.236572703681606</v>
      </c>
      <c r="R34" s="67">
        <v>2.1339313168267804</v>
      </c>
      <c r="S34" s="67">
        <v>5.1185364617051841</v>
      </c>
      <c r="T34" s="67">
        <v>10.564327927268678</v>
      </c>
      <c r="U34" s="67">
        <v>1.050505</v>
      </c>
      <c r="V34" s="67">
        <v>9.6027497492602727</v>
      </c>
      <c r="W34" s="67">
        <v>9</v>
      </c>
      <c r="X34" s="67">
        <v>4.9475670000000003</v>
      </c>
      <c r="Y34" s="67">
        <v>2.6806764040202284</v>
      </c>
      <c r="Z34" s="67">
        <v>1.0069930069930071</v>
      </c>
      <c r="AA34" s="67">
        <v>1.9972260748959778</v>
      </c>
      <c r="AB34" s="67">
        <v>9.2049210000000006</v>
      </c>
      <c r="AC34" s="67" t="s">
        <v>248</v>
      </c>
      <c r="AD34" s="67">
        <v>6.6379390000000003</v>
      </c>
      <c r="AE34" s="67">
        <v>28.114276496218384</v>
      </c>
      <c r="AF34" s="67">
        <v>15.87177</v>
      </c>
      <c r="AG34" s="140"/>
      <c r="AH34" s="144">
        <v>14.989590562109647</v>
      </c>
      <c r="AI34" s="138" t="s">
        <v>248</v>
      </c>
      <c r="AJ34" s="144" t="s">
        <v>248</v>
      </c>
    </row>
    <row r="35" spans="1:248" s="149" customFormat="1" ht="9.9499999999999993" customHeight="1">
      <c r="A35" s="145" t="s">
        <v>2</v>
      </c>
      <c r="B35" s="146" t="s">
        <v>33</v>
      </c>
      <c r="C35" s="103">
        <v>1440</v>
      </c>
      <c r="D35" s="46">
        <v>1440</v>
      </c>
      <c r="E35" s="46">
        <v>1440.1915544401177</v>
      </c>
      <c r="F35" s="46">
        <f t="shared" ref="F35" si="0">F32+F26+F22+F12+F5</f>
        <v>1440.066044202656</v>
      </c>
      <c r="G35" s="46">
        <v>1440</v>
      </c>
      <c r="H35" s="46">
        <v>1440.339901499912</v>
      </c>
      <c r="I35" s="46">
        <f>I32+I26+I22+I12+I5</f>
        <v>1439.9999088999998</v>
      </c>
      <c r="J35" s="46">
        <v>1440</v>
      </c>
      <c r="K35" s="46">
        <v>1440.0000376666665</v>
      </c>
      <c r="L35" s="46">
        <v>1440</v>
      </c>
      <c r="M35" s="46">
        <v>1440</v>
      </c>
      <c r="N35" s="46">
        <v>1440</v>
      </c>
      <c r="O35" s="46">
        <v>1440</v>
      </c>
      <c r="P35" s="46">
        <v>1440.1092599257634</v>
      </c>
      <c r="Q35" s="46">
        <v>1440.0000000000009</v>
      </c>
      <c r="R35" s="46">
        <v>1440.0000000000002</v>
      </c>
      <c r="S35" s="46">
        <v>1440</v>
      </c>
      <c r="T35" s="46">
        <v>1439.9610864095407</v>
      </c>
      <c r="U35" s="46">
        <v>1440</v>
      </c>
      <c r="V35" s="46">
        <v>1439.9996847639477</v>
      </c>
      <c r="W35" s="47">
        <v>1440</v>
      </c>
      <c r="X35" s="46">
        <v>1440.0000339999999</v>
      </c>
      <c r="Y35" s="47">
        <v>1440</v>
      </c>
      <c r="Z35" s="46">
        <v>1440</v>
      </c>
      <c r="AA35" s="46">
        <v>1440</v>
      </c>
      <c r="AB35" s="46">
        <v>1440.0001023999998</v>
      </c>
      <c r="AC35" s="46">
        <v>1439.9999999999968</v>
      </c>
      <c r="AD35" s="46">
        <v>1440.0296573999999</v>
      </c>
      <c r="AE35" s="46">
        <v>1439.9999999999998</v>
      </c>
      <c r="AF35" s="46">
        <v>1439.9999999999998</v>
      </c>
      <c r="AG35" s="140"/>
      <c r="AH35" s="147">
        <v>1440</v>
      </c>
      <c r="AI35" s="158">
        <v>1440</v>
      </c>
      <c r="AJ35" s="147">
        <v>1440.0000190000001</v>
      </c>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c r="CY35" s="86"/>
      <c r="CZ35" s="86"/>
      <c r="DA35" s="86"/>
      <c r="DB35" s="86"/>
      <c r="DC35" s="86"/>
      <c r="DD35" s="86"/>
      <c r="DE35" s="86"/>
      <c r="DF35" s="86"/>
      <c r="DG35" s="86"/>
      <c r="DH35" s="86"/>
      <c r="DI35" s="86"/>
      <c r="DJ35" s="86"/>
      <c r="DK35" s="86"/>
      <c r="DL35" s="86"/>
      <c r="DM35" s="86"/>
      <c r="DN35" s="86"/>
      <c r="DO35" s="86"/>
      <c r="DP35" s="86"/>
      <c r="DQ35" s="86"/>
      <c r="DR35" s="86"/>
      <c r="DS35" s="86"/>
      <c r="DT35" s="86"/>
      <c r="DU35" s="86"/>
      <c r="DV35" s="86"/>
      <c r="DW35" s="86"/>
      <c r="DX35" s="86"/>
      <c r="DY35" s="86"/>
      <c r="DZ35" s="86"/>
      <c r="EA35" s="86"/>
      <c r="EB35" s="86"/>
      <c r="EC35" s="86"/>
      <c r="ED35" s="86"/>
      <c r="EE35" s="86"/>
      <c r="EF35" s="86"/>
      <c r="EG35" s="86"/>
      <c r="EH35" s="86"/>
      <c r="EI35" s="86"/>
      <c r="EJ35" s="86"/>
      <c r="EK35" s="86"/>
      <c r="EL35" s="86"/>
      <c r="EM35" s="86"/>
      <c r="EN35" s="86"/>
      <c r="EO35" s="86"/>
      <c r="EP35" s="86"/>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6"/>
      <c r="FO35" s="86"/>
      <c r="FP35" s="86"/>
      <c r="FQ35" s="86"/>
      <c r="FR35" s="86"/>
      <c r="FS35" s="86"/>
      <c r="FT35" s="86"/>
      <c r="FU35" s="86"/>
      <c r="FV35" s="86"/>
      <c r="FW35" s="86"/>
      <c r="FX35" s="86"/>
      <c r="FY35" s="86"/>
      <c r="FZ35" s="86"/>
      <c r="GA35" s="86"/>
      <c r="GB35" s="86"/>
      <c r="GC35" s="86"/>
      <c r="GD35" s="86"/>
      <c r="GE35" s="86"/>
      <c r="GF35" s="86"/>
      <c r="GG35" s="86"/>
      <c r="GH35" s="86"/>
      <c r="GI35" s="86"/>
      <c r="GJ35" s="86"/>
      <c r="GK35" s="86"/>
      <c r="GL35" s="86"/>
      <c r="GM35" s="86"/>
      <c r="GN35" s="86"/>
      <c r="GO35" s="86"/>
      <c r="GP35" s="86"/>
      <c r="GQ35" s="86"/>
      <c r="GR35" s="86"/>
      <c r="GS35" s="86"/>
      <c r="GT35" s="86"/>
      <c r="GU35" s="86"/>
      <c r="GV35" s="86"/>
      <c r="GW35" s="86"/>
      <c r="GX35" s="86"/>
      <c r="GY35" s="86"/>
      <c r="GZ35" s="86"/>
      <c r="HA35" s="86"/>
      <c r="HB35" s="86"/>
      <c r="HC35" s="86"/>
      <c r="HD35" s="86"/>
      <c r="HE35" s="86"/>
      <c r="HF35" s="86"/>
      <c r="HG35" s="86"/>
      <c r="HH35" s="86"/>
      <c r="HI35" s="86"/>
      <c r="HJ35" s="86"/>
      <c r="HK35" s="86"/>
      <c r="HL35" s="86"/>
      <c r="HM35" s="86"/>
      <c r="HN35" s="86"/>
      <c r="HO35" s="86"/>
      <c r="HP35" s="86"/>
      <c r="HQ35" s="86"/>
      <c r="HR35" s="86"/>
      <c r="HS35" s="86"/>
      <c r="HT35" s="86"/>
      <c r="HU35" s="86"/>
      <c r="HV35" s="86"/>
      <c r="HW35" s="86"/>
      <c r="HX35" s="86"/>
      <c r="HY35" s="86"/>
      <c r="HZ35" s="86"/>
      <c r="IA35" s="86"/>
      <c r="IB35" s="86"/>
      <c r="IC35" s="86"/>
      <c r="ID35" s="86"/>
      <c r="IE35" s="86"/>
      <c r="IF35" s="86"/>
      <c r="IG35" s="86"/>
      <c r="IH35" s="86"/>
      <c r="II35" s="86"/>
      <c r="IJ35" s="86"/>
      <c r="IK35" s="86"/>
      <c r="IL35" s="86"/>
      <c r="IM35" s="86"/>
      <c r="IN35" s="86"/>
    </row>
    <row r="36" spans="1:248" ht="9.9499999999999993" customHeight="1">
      <c r="A36" s="160" t="s">
        <v>502</v>
      </c>
      <c r="C36" s="91" t="s">
        <v>503</v>
      </c>
      <c r="D36" s="92"/>
      <c r="E36" s="91"/>
      <c r="F36" s="92"/>
      <c r="G36" s="92"/>
      <c r="H36" s="162"/>
      <c r="I36" s="92"/>
      <c r="J36" s="92"/>
      <c r="K36" s="92"/>
      <c r="L36" s="91"/>
      <c r="M36" s="91"/>
      <c r="N36" s="92"/>
      <c r="O36" s="92"/>
      <c r="P36" s="92"/>
      <c r="Q36" s="92"/>
      <c r="R36" s="92"/>
      <c r="S36" s="92"/>
      <c r="T36" s="92"/>
      <c r="U36" s="92"/>
      <c r="V36" s="92"/>
      <c r="W36" s="92"/>
      <c r="X36" s="92"/>
      <c r="Y36" s="91"/>
      <c r="Z36" s="92"/>
      <c r="AA36" s="92"/>
      <c r="AB36" s="92"/>
      <c r="AC36" s="91"/>
      <c r="AD36" s="91"/>
      <c r="AE36" s="92"/>
      <c r="AF36" s="92"/>
      <c r="AG36" s="86"/>
      <c r="AH36" s="91" t="s">
        <v>504</v>
      </c>
      <c r="AI36" s="93"/>
    </row>
    <row r="37" spans="1:248" ht="409.5">
      <c r="C37" s="190" t="s">
        <v>237</v>
      </c>
      <c r="D37" s="191"/>
      <c r="E37" s="190" t="s">
        <v>486</v>
      </c>
      <c r="F37" s="191"/>
      <c r="G37" s="191"/>
      <c r="H37" s="192" t="s">
        <v>486</v>
      </c>
      <c r="I37" s="191"/>
      <c r="J37" s="191"/>
      <c r="K37" s="191"/>
      <c r="L37" s="190" t="s">
        <v>486</v>
      </c>
      <c r="M37" s="190" t="s">
        <v>486</v>
      </c>
      <c r="N37" s="191"/>
      <c r="O37" s="191"/>
      <c r="P37" s="190" t="s">
        <v>561</v>
      </c>
      <c r="Q37" s="191"/>
      <c r="R37" s="193"/>
      <c r="S37" s="193" t="s">
        <v>488</v>
      </c>
      <c r="T37" s="193" t="s">
        <v>486</v>
      </c>
      <c r="U37" s="193" t="s">
        <v>555</v>
      </c>
      <c r="V37" s="194"/>
      <c r="W37" s="191"/>
      <c r="X37" s="195"/>
      <c r="Y37" s="190" t="s">
        <v>486</v>
      </c>
      <c r="Z37" s="191"/>
      <c r="AA37" s="194"/>
      <c r="AB37" s="191"/>
      <c r="AC37" s="194"/>
      <c r="AD37" s="190"/>
      <c r="AE37" s="191"/>
      <c r="AF37" s="150"/>
      <c r="AG37" s="92"/>
    </row>
    <row r="38" spans="1:248">
      <c r="C38" s="91"/>
      <c r="D38" s="92"/>
      <c r="E38" s="92"/>
      <c r="F38" s="92"/>
      <c r="G38" s="92"/>
      <c r="H38" s="162"/>
      <c r="I38" s="92"/>
      <c r="J38" s="92"/>
      <c r="K38" s="92"/>
      <c r="L38" s="91"/>
      <c r="M38" s="92"/>
      <c r="N38" s="92"/>
      <c r="O38" s="92"/>
      <c r="P38" s="92"/>
      <c r="Q38" s="92"/>
      <c r="R38" s="92"/>
      <c r="S38" s="92"/>
      <c r="T38" s="92"/>
      <c r="U38" s="92"/>
      <c r="V38" s="92"/>
      <c r="W38" s="92"/>
      <c r="X38" s="91"/>
      <c r="Y38" s="92"/>
      <c r="Z38" s="92"/>
      <c r="AA38" s="92"/>
      <c r="AB38" s="92"/>
      <c r="AC38" s="92"/>
      <c r="AD38" s="92"/>
      <c r="AE38" s="92"/>
      <c r="AG38" s="92"/>
    </row>
    <row r="39" spans="1:248">
      <c r="A39" s="164" t="s">
        <v>506</v>
      </c>
      <c r="B39" s="164"/>
      <c r="C39" s="164"/>
      <c r="D39" s="164"/>
      <c r="E39" s="164"/>
      <c r="P39" s="87"/>
      <c r="Q39" s="87"/>
      <c r="R39" s="87"/>
      <c r="S39" s="87"/>
      <c r="T39" s="87"/>
      <c r="V39" s="87"/>
      <c r="W39" s="87"/>
      <c r="X39" s="87"/>
      <c r="Y39" s="87"/>
    </row>
    <row r="40" spans="1:248">
      <c r="A40" s="164" t="s">
        <v>507</v>
      </c>
      <c r="O40" s="87"/>
      <c r="P40" s="87"/>
      <c r="Q40" s="87"/>
      <c r="R40" s="87"/>
      <c r="S40" s="87"/>
      <c r="T40" s="87"/>
      <c r="V40" s="87"/>
      <c r="W40" s="87"/>
      <c r="X40" s="87"/>
      <c r="Y40" s="87"/>
    </row>
    <row r="41" spans="1:248">
      <c r="C41" s="94"/>
      <c r="D41" s="94"/>
      <c r="E41" s="94"/>
      <c r="F41" s="94"/>
      <c r="G41" s="94"/>
      <c r="I41" s="94"/>
      <c r="J41" s="94"/>
      <c r="K41" s="94"/>
      <c r="L41" s="94"/>
      <c r="M41" s="94"/>
      <c r="N41" s="94"/>
      <c r="O41" s="94"/>
      <c r="P41" s="94"/>
      <c r="Q41" s="94"/>
      <c r="R41" s="94"/>
      <c r="S41" s="94"/>
      <c r="T41" s="94"/>
      <c r="U41" s="94"/>
      <c r="V41" s="94"/>
      <c r="W41" s="94"/>
      <c r="X41" s="94"/>
      <c r="Y41" s="94"/>
      <c r="Z41" s="94"/>
      <c r="AA41" s="94"/>
      <c r="AB41" s="94"/>
      <c r="AC41" s="94"/>
      <c r="AD41" s="94"/>
      <c r="AE41" s="94"/>
      <c r="AG41" s="94"/>
    </row>
    <row r="42" spans="1:248" s="132" customFormat="1" ht="12.75">
      <c r="A42" s="131" t="s">
        <v>508</v>
      </c>
      <c r="AG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row>
    <row r="43" spans="1:248">
      <c r="A43" s="165" t="s">
        <v>509</v>
      </c>
      <c r="B43" s="163"/>
      <c r="C43" s="163"/>
      <c r="D43" s="163"/>
      <c r="E43" s="163"/>
      <c r="F43" s="163"/>
      <c r="H43" s="88"/>
      <c r="O43" s="87"/>
      <c r="P43" s="87"/>
      <c r="Q43" s="87"/>
      <c r="R43" s="87"/>
      <c r="S43" s="87"/>
      <c r="T43" s="87"/>
      <c r="V43" s="87"/>
      <c r="W43" s="87"/>
      <c r="X43" s="87"/>
      <c r="Y43" s="87"/>
      <c r="AH43" s="87"/>
      <c r="AI43" s="93"/>
    </row>
    <row r="44" spans="1:248" ht="22.5">
      <c r="A44" s="136" t="s">
        <v>510</v>
      </c>
      <c r="B44" s="137" t="s">
        <v>511</v>
      </c>
      <c r="C44" s="89" t="s">
        <v>236</v>
      </c>
      <c r="D44" s="89" t="s">
        <v>34</v>
      </c>
      <c r="E44" s="89" t="s">
        <v>227</v>
      </c>
      <c r="F44" s="89" t="s">
        <v>39</v>
      </c>
      <c r="G44" s="89" t="s">
        <v>238</v>
      </c>
      <c r="H44" s="138" t="s">
        <v>527</v>
      </c>
      <c r="I44" s="139" t="s">
        <v>40</v>
      </c>
      <c r="J44" s="89" t="s">
        <v>42</v>
      </c>
      <c r="K44" s="89" t="s">
        <v>43</v>
      </c>
      <c r="L44" s="87" t="s">
        <v>228</v>
      </c>
      <c r="M44" s="89" t="s">
        <v>249</v>
      </c>
      <c r="N44" s="89" t="s">
        <v>240</v>
      </c>
      <c r="O44" s="89" t="s">
        <v>47</v>
      </c>
      <c r="P44" s="89" t="s">
        <v>45</v>
      </c>
      <c r="Q44" s="89" t="s">
        <v>242</v>
      </c>
      <c r="R44" s="87" t="s">
        <v>52</v>
      </c>
      <c r="S44" s="87" t="s">
        <v>487</v>
      </c>
      <c r="T44" s="87" t="s">
        <v>485</v>
      </c>
      <c r="U44" s="89" t="s">
        <v>554</v>
      </c>
      <c r="V44" s="139" t="s">
        <v>243</v>
      </c>
      <c r="W44" s="139" t="s">
        <v>244</v>
      </c>
      <c r="X44" s="139" t="s">
        <v>50</v>
      </c>
      <c r="Y44" s="139" t="s">
        <v>229</v>
      </c>
      <c r="Z44" s="139" t="s">
        <v>245</v>
      </c>
      <c r="AA44" s="139" t="s">
        <v>246</v>
      </c>
      <c r="AB44" s="139" t="s">
        <v>53</v>
      </c>
      <c r="AC44" s="139" t="s">
        <v>417</v>
      </c>
      <c r="AD44" s="89" t="s">
        <v>603</v>
      </c>
      <c r="AE44" s="139" t="s">
        <v>499</v>
      </c>
      <c r="AF44" s="139" t="s">
        <v>500</v>
      </c>
      <c r="AG44" s="166"/>
      <c r="AH44" s="89" t="s">
        <v>501</v>
      </c>
      <c r="AI44" s="89" t="s">
        <v>342</v>
      </c>
      <c r="AJ44" s="89" t="s">
        <v>343</v>
      </c>
      <c r="AK44" s="90" t="s">
        <v>343</v>
      </c>
    </row>
    <row r="45" spans="1:248" ht="9.9499999999999993" customHeight="1">
      <c r="A45" s="141"/>
      <c r="B45" s="142"/>
      <c r="C45" s="143">
        <v>2006</v>
      </c>
      <c r="D45" s="143" t="s">
        <v>35</v>
      </c>
      <c r="E45" s="143">
        <v>2013</v>
      </c>
      <c r="F45" s="173">
        <v>2015</v>
      </c>
      <c r="G45" s="143">
        <v>2001</v>
      </c>
      <c r="H45" s="144" t="s">
        <v>41</v>
      </c>
      <c r="I45" s="173" t="s">
        <v>41</v>
      </c>
      <c r="J45" s="143" t="s">
        <v>41</v>
      </c>
      <c r="K45" s="143" t="s">
        <v>44</v>
      </c>
      <c r="L45" s="143">
        <v>2013</v>
      </c>
      <c r="M45" s="143">
        <v>2010</v>
      </c>
      <c r="N45" s="143">
        <v>2005</v>
      </c>
      <c r="O45" s="143" t="s">
        <v>48</v>
      </c>
      <c r="P45" s="143">
        <v>2016</v>
      </c>
      <c r="Q45" s="143">
        <v>2014</v>
      </c>
      <c r="R45" s="143">
        <v>2003</v>
      </c>
      <c r="S45" s="143">
        <v>2003</v>
      </c>
      <c r="T45" s="143">
        <v>2013</v>
      </c>
      <c r="U45" s="143">
        <v>2014</v>
      </c>
      <c r="V45" s="143">
        <v>2016</v>
      </c>
      <c r="W45" s="173" t="s">
        <v>41</v>
      </c>
      <c r="X45" s="143" t="s">
        <v>51</v>
      </c>
      <c r="Y45" s="143">
        <v>2013</v>
      </c>
      <c r="Z45" s="143">
        <v>1999</v>
      </c>
      <c r="AA45" s="143" t="s">
        <v>247</v>
      </c>
      <c r="AB45" s="173" t="s">
        <v>41</v>
      </c>
      <c r="AC45" s="173">
        <v>2010</v>
      </c>
      <c r="AD45" s="143" t="s">
        <v>54</v>
      </c>
      <c r="AE45" s="173" t="s">
        <v>55</v>
      </c>
      <c r="AF45" s="173">
        <v>2019</v>
      </c>
      <c r="AG45" s="166"/>
      <c r="AH45" s="143">
        <v>2008</v>
      </c>
      <c r="AI45" s="143">
        <v>1999</v>
      </c>
      <c r="AJ45" s="143">
        <v>2000</v>
      </c>
      <c r="AK45" s="144">
        <v>2010</v>
      </c>
    </row>
    <row r="46" spans="1:248" s="149" customFormat="1" ht="9.9499999999999993" customHeight="1">
      <c r="A46" s="145">
        <v>1</v>
      </c>
      <c r="B46" s="201" t="s">
        <v>3</v>
      </c>
      <c r="C46" s="197">
        <v>304.05574912891984</v>
      </c>
      <c r="D46" s="197">
        <v>364.78339429570298</v>
      </c>
      <c r="E46" s="187">
        <v>273.70408188101857</v>
      </c>
      <c r="F46" s="187">
        <v>340.51253168103125</v>
      </c>
      <c r="G46" s="197">
        <v>260.06775092011873</v>
      </c>
      <c r="H46" s="187">
        <v>264.07235769238264</v>
      </c>
      <c r="I46" s="197">
        <v>248.55974399999997</v>
      </c>
      <c r="J46" s="187">
        <v>235.13206520974788</v>
      </c>
      <c r="K46" s="197">
        <v>289.53188683333337</v>
      </c>
      <c r="L46" s="187">
        <v>274.27157313998765</v>
      </c>
      <c r="M46" s="187">
        <v>272.6571112996856</v>
      </c>
      <c r="N46" s="187">
        <v>340.81053000000003</v>
      </c>
      <c r="O46" s="187">
        <v>220.81396676153466</v>
      </c>
      <c r="P46" s="187">
        <v>468.10686064158199</v>
      </c>
      <c r="Q46" s="187">
        <v>418.98608986486732</v>
      </c>
      <c r="R46" s="187">
        <v>376.93106909732001</v>
      </c>
      <c r="S46" s="187">
        <v>354.26273205205433</v>
      </c>
      <c r="T46" s="187">
        <v>329.99501858754644</v>
      </c>
      <c r="U46" s="187">
        <v>478.332964</v>
      </c>
      <c r="V46" s="197">
        <v>284.93920573115003</v>
      </c>
      <c r="W46" s="187">
        <v>338</v>
      </c>
      <c r="X46" s="197">
        <v>277.38289900000001</v>
      </c>
      <c r="Y46" s="187">
        <v>314.79718151512526</v>
      </c>
      <c r="Z46" s="197">
        <v>372.32704402515719</v>
      </c>
      <c r="AA46" s="187">
        <v>299.83286908077991</v>
      </c>
      <c r="AB46" s="197">
        <v>236.2291275</v>
      </c>
      <c r="AC46" s="187">
        <v>313</v>
      </c>
      <c r="AD46" s="187">
        <v>358.25011049999995</v>
      </c>
      <c r="AE46" s="187">
        <v>308.61597517412645</v>
      </c>
      <c r="AF46" s="187">
        <v>331.74963800000006</v>
      </c>
      <c r="AG46" s="140"/>
      <c r="AH46" s="147">
        <v>390</v>
      </c>
      <c r="AI46" s="147">
        <v>390.57108730200252</v>
      </c>
      <c r="AJ46" s="147">
        <v>294.16316999999998</v>
      </c>
      <c r="AK46" s="185">
        <v>294.16316999999998</v>
      </c>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c r="CY46" s="86"/>
      <c r="CZ46" s="86"/>
      <c r="DA46" s="86"/>
      <c r="DB46" s="86"/>
      <c r="DC46" s="86"/>
      <c r="DD46" s="86"/>
      <c r="DE46" s="86"/>
      <c r="DF46" s="86"/>
      <c r="DG46" s="86"/>
      <c r="DH46" s="86"/>
      <c r="DI46" s="86"/>
      <c r="DJ46" s="86"/>
      <c r="DK46" s="86"/>
      <c r="DL46" s="86"/>
      <c r="DM46" s="86"/>
      <c r="DN46" s="86"/>
      <c r="DO46" s="86"/>
      <c r="DP46" s="86"/>
      <c r="DQ46" s="86"/>
      <c r="DR46" s="86"/>
      <c r="DS46" s="86"/>
      <c r="DT46" s="86"/>
      <c r="DU46" s="86"/>
      <c r="DV46" s="86"/>
      <c r="DW46" s="86"/>
      <c r="DX46" s="86"/>
      <c r="DY46" s="86"/>
      <c r="DZ46" s="86"/>
      <c r="EA46" s="86"/>
      <c r="EB46" s="86"/>
      <c r="EC46" s="86"/>
      <c r="ED46" s="86"/>
      <c r="EE46" s="86"/>
      <c r="EF46" s="86"/>
      <c r="EG46" s="86"/>
      <c r="EH46" s="86"/>
      <c r="EI46" s="86"/>
      <c r="EJ46" s="86"/>
      <c r="EK46" s="86"/>
      <c r="EL46" s="86"/>
      <c r="EM46" s="86"/>
      <c r="EN46" s="86"/>
      <c r="EO46" s="86"/>
      <c r="EP46" s="86"/>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6"/>
      <c r="FO46" s="86"/>
      <c r="FP46" s="86"/>
      <c r="FQ46" s="86"/>
      <c r="FR46" s="86"/>
      <c r="FS46" s="86"/>
      <c r="FT46" s="86"/>
      <c r="FU46" s="86"/>
      <c r="FV46" s="86"/>
      <c r="FW46" s="86"/>
      <c r="FX46" s="86"/>
      <c r="FY46" s="86"/>
      <c r="FZ46" s="86"/>
      <c r="GA46" s="86"/>
      <c r="GB46" s="86"/>
      <c r="GC46" s="86"/>
      <c r="GD46" s="86"/>
      <c r="GE46" s="86"/>
      <c r="GF46" s="86"/>
      <c r="GG46" s="86"/>
      <c r="GH46" s="86"/>
      <c r="GI46" s="86"/>
      <c r="GJ46" s="86"/>
      <c r="GK46" s="86"/>
      <c r="GL46" s="86"/>
      <c r="GM46" s="86"/>
      <c r="GN46" s="86"/>
      <c r="GO46" s="86"/>
      <c r="GP46" s="86"/>
      <c r="GQ46" s="86"/>
      <c r="GR46" s="86"/>
      <c r="GS46" s="86"/>
      <c r="GT46" s="86"/>
      <c r="GU46" s="86"/>
      <c r="GV46" s="86"/>
      <c r="GW46" s="86"/>
      <c r="GX46" s="86"/>
      <c r="GY46" s="86"/>
      <c r="GZ46" s="86"/>
      <c r="HA46" s="86"/>
      <c r="HB46" s="86"/>
      <c r="HC46" s="86"/>
      <c r="HD46" s="86"/>
      <c r="HE46" s="86"/>
      <c r="HF46" s="86"/>
      <c r="HG46" s="86"/>
      <c r="HH46" s="86"/>
      <c r="HI46" s="86"/>
      <c r="HJ46" s="86"/>
      <c r="HK46" s="86"/>
      <c r="HL46" s="86"/>
      <c r="HM46" s="86"/>
      <c r="HN46" s="86"/>
      <c r="HO46" s="86"/>
      <c r="HP46" s="86"/>
      <c r="HQ46" s="86"/>
      <c r="HR46" s="86"/>
      <c r="HS46" s="86"/>
      <c r="HT46" s="86"/>
      <c r="HU46" s="86"/>
      <c r="HV46" s="86"/>
      <c r="HW46" s="86"/>
      <c r="HX46" s="86"/>
      <c r="HY46" s="86"/>
      <c r="HZ46" s="86"/>
      <c r="IA46" s="86"/>
      <c r="IB46" s="86"/>
      <c r="IC46" s="86"/>
      <c r="ID46" s="86"/>
      <c r="IE46" s="86"/>
      <c r="IF46" s="86"/>
      <c r="IG46" s="86"/>
      <c r="IH46" s="86"/>
      <c r="II46" s="86"/>
      <c r="IJ46" s="86"/>
      <c r="IK46" s="86"/>
      <c r="IL46" s="86"/>
      <c r="IM46" s="86"/>
      <c r="IN46" s="86"/>
    </row>
    <row r="47" spans="1:248" ht="9.9499999999999993" customHeight="1">
      <c r="A47" s="150">
        <v>1.1000000000000001</v>
      </c>
      <c r="B47" s="202" t="s">
        <v>4</v>
      </c>
      <c r="C47" s="40">
        <v>247.86062717770034</v>
      </c>
      <c r="D47" s="40">
        <v>303.39359999999999</v>
      </c>
      <c r="E47" s="67">
        <v>203.29880702494933</v>
      </c>
      <c r="F47" s="67">
        <v>270.13480113605004</v>
      </c>
      <c r="G47" s="40">
        <v>211.40338919194625</v>
      </c>
      <c r="H47" s="67">
        <v>210.91342237524756</v>
      </c>
      <c r="I47" s="40">
        <v>197.61779999999999</v>
      </c>
      <c r="J47" s="67">
        <v>173.53590915883964</v>
      </c>
      <c r="K47" s="40">
        <v>226.72183333333334</v>
      </c>
      <c r="L47" s="67">
        <v>210.43986033368455</v>
      </c>
      <c r="M47" s="67">
        <v>200.38914627088025</v>
      </c>
      <c r="N47" s="67">
        <v>276.5521</v>
      </c>
      <c r="O47" s="67">
        <v>160.06779896173265</v>
      </c>
      <c r="P47" s="67">
        <v>375.16565492699772</v>
      </c>
      <c r="Q47" s="67">
        <v>287.01290295927396</v>
      </c>
      <c r="R47" s="67">
        <v>323.2510203232564</v>
      </c>
      <c r="S47" s="67">
        <v>311.49861509100811</v>
      </c>
      <c r="T47" s="67">
        <v>254.4569125999549</v>
      </c>
      <c r="U47" s="67">
        <v>374.6474</v>
      </c>
      <c r="V47" s="41">
        <v>219.92576161462301</v>
      </c>
      <c r="W47" s="67">
        <v>279</v>
      </c>
      <c r="X47" s="41">
        <v>199.16380000000001</v>
      </c>
      <c r="Y47" s="67">
        <v>253.79618157006018</v>
      </c>
      <c r="Z47" s="40">
        <v>299.87421383647802</v>
      </c>
      <c r="AA47" s="67">
        <v>235.65459610027855</v>
      </c>
      <c r="AB47" s="40">
        <v>180.9965</v>
      </c>
      <c r="AC47" s="67">
        <v>251</v>
      </c>
      <c r="AD47" s="67">
        <v>287.17469999999997</v>
      </c>
      <c r="AE47" s="67">
        <v>228.19170826711277</v>
      </c>
      <c r="AF47" s="67">
        <v>274.27940000000001</v>
      </c>
      <c r="AG47" s="140"/>
      <c r="AH47" s="138">
        <v>308</v>
      </c>
      <c r="AI47" s="138">
        <v>318.10182471090383</v>
      </c>
      <c r="AJ47" s="138">
        <v>195.58459999999999</v>
      </c>
      <c r="AK47" s="138">
        <v>195.58459999999999</v>
      </c>
    </row>
    <row r="48" spans="1:248" ht="9.9499999999999993" customHeight="1">
      <c r="A48" s="150">
        <v>1.2</v>
      </c>
      <c r="B48" s="202" t="s">
        <v>5</v>
      </c>
      <c r="C48" s="40">
        <v>31.10801393728223</v>
      </c>
      <c r="D48" s="40">
        <v>34.24632959570306</v>
      </c>
      <c r="E48" s="67">
        <v>29.196107860771392</v>
      </c>
      <c r="F48" s="67">
        <v>32.605672360565123</v>
      </c>
      <c r="G48" s="40">
        <v>28.714902606008341</v>
      </c>
      <c r="H48" s="67">
        <v>29.787094865433026</v>
      </c>
      <c r="I48" s="40">
        <v>21.318629999999999</v>
      </c>
      <c r="J48" s="67">
        <v>26.332791389786212</v>
      </c>
      <c r="K48" s="40">
        <v>32.576433333333334</v>
      </c>
      <c r="L48" s="67">
        <v>27.532388094835525</v>
      </c>
      <c r="M48" s="67">
        <v>33.104656058529578</v>
      </c>
      <c r="N48" s="67">
        <v>25.89442</v>
      </c>
      <c r="O48" s="67">
        <v>26.671117992286337</v>
      </c>
      <c r="P48" s="67">
        <v>54.416243654822338</v>
      </c>
      <c r="Q48" s="67">
        <v>72.375644658120549</v>
      </c>
      <c r="R48" s="67">
        <v>42.549802441893895</v>
      </c>
      <c r="S48" s="67">
        <v>32.797099171519214</v>
      </c>
      <c r="T48" s="67">
        <v>37.928159573723271</v>
      </c>
      <c r="U48" s="67">
        <v>53.508018</v>
      </c>
      <c r="V48" s="41">
        <v>36.242127760853009</v>
      </c>
      <c r="W48" s="67">
        <v>29.000000000000004</v>
      </c>
      <c r="X48" s="41">
        <v>35.768050000000002</v>
      </c>
      <c r="Y48" s="67">
        <v>31.536376704448244</v>
      </c>
      <c r="Z48" s="40">
        <v>32.20125786163522</v>
      </c>
      <c r="AA48" s="67">
        <v>28.077994428969362</v>
      </c>
      <c r="AB48" s="40">
        <v>24.225739999999998</v>
      </c>
      <c r="AC48" s="67">
        <v>33</v>
      </c>
      <c r="AD48" s="67">
        <v>43.521929999999998</v>
      </c>
      <c r="AE48" s="67">
        <v>48.832885442227642</v>
      </c>
      <c r="AF48" s="67">
        <v>25.902519999999999</v>
      </c>
      <c r="AG48" s="140"/>
      <c r="AH48" s="138">
        <v>56</v>
      </c>
      <c r="AI48" s="138">
        <v>44.437603494787645</v>
      </c>
      <c r="AJ48" s="138">
        <v>44.359389999999998</v>
      </c>
      <c r="AK48" s="138">
        <v>44.359389999999998</v>
      </c>
    </row>
    <row r="49" spans="1:248" ht="9.9499999999999993" customHeight="1">
      <c r="A49" s="150">
        <v>1.3</v>
      </c>
      <c r="B49" s="202" t="s">
        <v>6</v>
      </c>
      <c r="C49" s="40">
        <v>15.05226480836237</v>
      </c>
      <c r="D49" s="40">
        <v>23.146329999999999</v>
      </c>
      <c r="E49" s="67">
        <v>27.884721212837107</v>
      </c>
      <c r="F49" s="67">
        <v>21.282702843546993</v>
      </c>
      <c r="G49" s="40">
        <v>12.821433903650835</v>
      </c>
      <c r="H49" s="67">
        <v>23.371840451702059</v>
      </c>
      <c r="I49" s="40">
        <v>27.553460000000001</v>
      </c>
      <c r="J49" s="67">
        <v>23.771111254586426</v>
      </c>
      <c r="K49" s="40">
        <v>14.673765</v>
      </c>
      <c r="L49" s="67">
        <v>22.097470921613628</v>
      </c>
      <c r="M49" s="67">
        <v>29.067934239590507</v>
      </c>
      <c r="N49" s="67">
        <v>38.36401</v>
      </c>
      <c r="O49" s="67">
        <v>13.680502188788283</v>
      </c>
      <c r="P49" s="230">
        <v>38.524962059762402</v>
      </c>
      <c r="Q49" s="67">
        <v>39.035378422701854</v>
      </c>
      <c r="R49" s="67">
        <v>7.8793261096083844</v>
      </c>
      <c r="S49" s="67">
        <v>7.8671963349007017</v>
      </c>
      <c r="T49" s="67">
        <v>24.572923648972427</v>
      </c>
      <c r="U49" s="67">
        <v>36.760010000000001</v>
      </c>
      <c r="V49" s="41">
        <v>14.715085681645087</v>
      </c>
      <c r="W49" s="67">
        <v>21</v>
      </c>
      <c r="X49" s="41">
        <v>34.6145</v>
      </c>
      <c r="Y49" s="67">
        <v>21.156128849110129</v>
      </c>
      <c r="Z49" s="40">
        <v>32.20125786163522</v>
      </c>
      <c r="AA49" s="67">
        <v>21.058495821727018</v>
      </c>
      <c r="AB49" s="40">
        <v>18.474699999999999</v>
      </c>
      <c r="AC49" s="67">
        <v>30</v>
      </c>
      <c r="AD49" s="67">
        <v>17.400289999999998</v>
      </c>
      <c r="AE49" s="67">
        <v>15.032787503801444</v>
      </c>
      <c r="AF49" s="67">
        <v>16.738890000000001</v>
      </c>
      <c r="AG49" s="140"/>
      <c r="AH49" s="138">
        <v>25.999999999999996</v>
      </c>
      <c r="AI49" s="138">
        <v>14.070235419235608</v>
      </c>
      <c r="AJ49" s="138">
        <v>29.769069999999999</v>
      </c>
      <c r="AK49" s="138">
        <v>29.769069999999999</v>
      </c>
    </row>
    <row r="50" spans="1:248" ht="9.9499999999999993" customHeight="1">
      <c r="A50" s="150">
        <v>1.4</v>
      </c>
      <c r="B50" s="203" t="s">
        <v>7</v>
      </c>
      <c r="C50" s="40">
        <v>10.034843205574912</v>
      </c>
      <c r="D50" s="40">
        <v>0.87387970000000004</v>
      </c>
      <c r="E50" s="67">
        <v>13.324445782460776</v>
      </c>
      <c r="F50" s="67">
        <v>14.340403196581557</v>
      </c>
      <c r="G50" s="40">
        <v>7.1280252185133541</v>
      </c>
      <c r="H50" s="67">
        <v>0</v>
      </c>
      <c r="I50" s="40" t="s">
        <v>248</v>
      </c>
      <c r="J50" s="67">
        <v>8.1801534317303215</v>
      </c>
      <c r="K50" s="40">
        <v>10.02961</v>
      </c>
      <c r="L50" s="67">
        <v>14.201853789853917</v>
      </c>
      <c r="M50" s="67">
        <v>10.095374730685233</v>
      </c>
      <c r="N50" s="67" t="s">
        <v>248</v>
      </c>
      <c r="O50" s="67">
        <v>13.105708673168623</v>
      </c>
      <c r="P50" s="230"/>
      <c r="Q50" s="67">
        <v>20.562163824770941</v>
      </c>
      <c r="R50" s="67">
        <v>3.2509202225613829</v>
      </c>
      <c r="S50" s="67">
        <v>2.0998214546262557</v>
      </c>
      <c r="T50" s="67">
        <v>13.037022764895868</v>
      </c>
      <c r="U50" s="67">
        <v>10.79542</v>
      </c>
      <c r="V50" s="40">
        <v>10.788972772277228</v>
      </c>
      <c r="W50" s="67">
        <v>10</v>
      </c>
      <c r="X50" s="40">
        <v>3.5590579999999998</v>
      </c>
      <c r="Y50" s="67">
        <v>8.3084943915066773</v>
      </c>
      <c r="Z50" s="40">
        <v>8.050314465408805</v>
      </c>
      <c r="AA50" s="67">
        <v>15.041782729805014</v>
      </c>
      <c r="AB50" s="40">
        <v>8.1429559999999999</v>
      </c>
      <c r="AC50" s="67" t="s">
        <v>248</v>
      </c>
      <c r="AD50" s="67">
        <v>9.9511190000000003</v>
      </c>
      <c r="AE50" s="67">
        <v>13.670893827591474</v>
      </c>
      <c r="AF50" s="67">
        <v>12.71149</v>
      </c>
      <c r="AG50" s="140"/>
      <c r="AH50" s="138" t="s">
        <v>248</v>
      </c>
      <c r="AI50" s="138">
        <v>13.961423677075464</v>
      </c>
      <c r="AJ50" s="138">
        <v>13.246880000000001</v>
      </c>
      <c r="AK50" s="138">
        <v>13.246880000000001</v>
      </c>
    </row>
    <row r="51" spans="1:248" ht="9.9499999999999993" customHeight="1">
      <c r="A51" s="150">
        <v>1.5</v>
      </c>
      <c r="B51" s="203" t="s">
        <v>8</v>
      </c>
      <c r="C51" s="67" t="s">
        <v>248</v>
      </c>
      <c r="D51" s="40">
        <v>1.9094530000000001</v>
      </c>
      <c r="E51" s="67" t="s">
        <v>248</v>
      </c>
      <c r="F51" s="67">
        <v>2.1489521442875734</v>
      </c>
      <c r="G51" s="40" t="s">
        <v>248</v>
      </c>
      <c r="H51" s="67" t="s">
        <v>248</v>
      </c>
      <c r="I51" s="40" t="s">
        <v>248</v>
      </c>
      <c r="J51" s="67">
        <v>2.7758911465053662</v>
      </c>
      <c r="K51" s="40">
        <v>0.58771016666666676</v>
      </c>
      <c r="L51" s="121" t="s">
        <v>248</v>
      </c>
      <c r="M51" s="67" t="s">
        <v>248</v>
      </c>
      <c r="N51" s="67" t="s">
        <v>248</v>
      </c>
      <c r="O51" s="67">
        <v>3.9708992459972743</v>
      </c>
      <c r="P51" s="67" t="s">
        <v>248</v>
      </c>
      <c r="Q51" s="67" t="s">
        <v>248</v>
      </c>
      <c r="R51" s="67" t="s">
        <v>248</v>
      </c>
      <c r="S51" s="67" t="s">
        <v>248</v>
      </c>
      <c r="T51" s="67" t="s">
        <v>248</v>
      </c>
      <c r="U51" s="67">
        <v>2.6221160000000001</v>
      </c>
      <c r="V51" s="40">
        <v>0.81487528560548361</v>
      </c>
      <c r="W51" s="67" t="s">
        <v>248</v>
      </c>
      <c r="X51" s="40" t="s">
        <v>248</v>
      </c>
      <c r="Y51" s="67" t="s">
        <v>248</v>
      </c>
      <c r="Z51" s="67" t="s">
        <v>248</v>
      </c>
      <c r="AA51" s="67" t="s">
        <v>248</v>
      </c>
      <c r="AB51" s="40">
        <v>3.8203749999999999</v>
      </c>
      <c r="AC51" s="67" t="s">
        <v>248</v>
      </c>
      <c r="AD51" s="67" t="s">
        <v>248</v>
      </c>
      <c r="AE51" s="67">
        <v>2.1933258319729219</v>
      </c>
      <c r="AF51" s="67">
        <v>2.1173380000000002</v>
      </c>
      <c r="AG51" s="140"/>
      <c r="AH51" s="138" t="s">
        <v>248</v>
      </c>
      <c r="AI51" s="138" t="s">
        <v>248</v>
      </c>
      <c r="AJ51" s="138" t="s">
        <v>248</v>
      </c>
      <c r="AK51" s="138"/>
    </row>
    <row r="52" spans="1:248" ht="9.9499999999999993" customHeight="1">
      <c r="A52" s="150">
        <v>1.6</v>
      </c>
      <c r="B52" s="203" t="s">
        <v>9</v>
      </c>
      <c r="C52" s="67" t="s">
        <v>248</v>
      </c>
      <c r="D52" s="40">
        <v>1.213802</v>
      </c>
      <c r="E52" s="67" t="s">
        <v>248</v>
      </c>
      <c r="F52" s="67" t="s">
        <v>248</v>
      </c>
      <c r="G52" s="40" t="s">
        <v>248</v>
      </c>
      <c r="H52" s="67" t="s">
        <v>248</v>
      </c>
      <c r="I52" s="40">
        <v>2.0698539999999999</v>
      </c>
      <c r="J52" s="67">
        <v>0.53620882829991046</v>
      </c>
      <c r="K52" s="40">
        <v>4.9425350000000003</v>
      </c>
      <c r="L52" s="121" t="s">
        <v>248</v>
      </c>
      <c r="M52" s="67" t="s">
        <v>248</v>
      </c>
      <c r="N52" s="67" t="s">
        <v>248</v>
      </c>
      <c r="O52" s="67">
        <v>3.3179396995615025</v>
      </c>
      <c r="P52" s="67" t="s">
        <v>248</v>
      </c>
      <c r="Q52" s="67" t="s">
        <v>248</v>
      </c>
      <c r="R52" s="67" t="s">
        <v>248</v>
      </c>
      <c r="S52" s="67" t="s">
        <v>248</v>
      </c>
      <c r="T52" s="67" t="s">
        <v>248</v>
      </c>
      <c r="U52" s="67" t="s">
        <v>248</v>
      </c>
      <c r="V52" s="40">
        <v>2.4523826161462292</v>
      </c>
      <c r="W52" s="67" t="s">
        <v>248</v>
      </c>
      <c r="X52" s="40">
        <v>4.2774910000000004</v>
      </c>
      <c r="Y52" s="67" t="s">
        <v>248</v>
      </c>
      <c r="Z52" s="67" t="s">
        <v>248</v>
      </c>
      <c r="AA52" s="67" t="s">
        <v>248</v>
      </c>
      <c r="AB52" s="40">
        <v>0.56885649999999999</v>
      </c>
      <c r="AC52" s="67" t="s">
        <v>248</v>
      </c>
      <c r="AD52" s="67">
        <v>0</v>
      </c>
      <c r="AE52" s="67">
        <v>0.69437430142018386</v>
      </c>
      <c r="AF52" s="67" t="s">
        <v>248</v>
      </c>
      <c r="AG52" s="140"/>
      <c r="AH52" s="138" t="s">
        <v>248</v>
      </c>
      <c r="AI52" s="138" t="s">
        <v>248</v>
      </c>
      <c r="AJ52" s="138">
        <v>11.20323</v>
      </c>
      <c r="AK52" s="138">
        <v>11.20323</v>
      </c>
    </row>
    <row r="53" spans="1:248" s="149" customFormat="1" ht="9.9499999999999993" customHeight="1">
      <c r="A53" s="145">
        <v>2</v>
      </c>
      <c r="B53" s="204" t="s">
        <v>10</v>
      </c>
      <c r="C53" s="198">
        <v>171.595818815331</v>
      </c>
      <c r="D53" s="198">
        <v>135.28297602913966</v>
      </c>
      <c r="E53" s="189">
        <v>144.17237847897221</v>
      </c>
      <c r="F53" s="189">
        <v>148.13789751589471</v>
      </c>
      <c r="G53" s="198">
        <v>186.1360818597189</v>
      </c>
      <c r="H53" s="189">
        <v>160.16359010630146</v>
      </c>
      <c r="I53" s="198">
        <v>157.46491529999997</v>
      </c>
      <c r="J53" s="189">
        <v>134.93945332180451</v>
      </c>
      <c r="K53" s="198">
        <v>150.43200616666667</v>
      </c>
      <c r="L53" s="189">
        <v>95.084072745637627</v>
      </c>
      <c r="M53" s="189">
        <v>162.34104598012914</v>
      </c>
      <c r="N53" s="189">
        <v>126.97815100000001</v>
      </c>
      <c r="O53" s="189">
        <v>130.70904349081948</v>
      </c>
      <c r="P53" s="189">
        <v>40.3144591553718</v>
      </c>
      <c r="Q53" s="189">
        <v>48.994484860827207</v>
      </c>
      <c r="R53" s="189">
        <v>129.72689715060244</v>
      </c>
      <c r="S53" s="189">
        <v>151.61080552029992</v>
      </c>
      <c r="T53" s="189">
        <v>121.07518141647196</v>
      </c>
      <c r="U53" s="189">
        <v>131.41921500000001</v>
      </c>
      <c r="V53" s="198">
        <v>145.41706987814166</v>
      </c>
      <c r="W53" s="189">
        <v>141</v>
      </c>
      <c r="X53" s="198">
        <v>168.486943</v>
      </c>
      <c r="Y53" s="189">
        <v>158.78271641390862</v>
      </c>
      <c r="Z53" s="198">
        <v>96.268343815513632</v>
      </c>
      <c r="AA53" s="189">
        <v>166.46239554317549</v>
      </c>
      <c r="AB53" s="198">
        <v>145.90931270000002</v>
      </c>
      <c r="AC53" s="189">
        <v>171</v>
      </c>
      <c r="AD53" s="189">
        <v>67.591738899999996</v>
      </c>
      <c r="AE53" s="189">
        <v>140.08179519029616</v>
      </c>
      <c r="AF53" s="189">
        <v>165.843953</v>
      </c>
      <c r="AG53" s="140"/>
      <c r="AH53" s="147">
        <v>91</v>
      </c>
      <c r="AI53" s="147">
        <v>51.767242334305003</v>
      </c>
      <c r="AJ53" s="147">
        <v>102.93914110000001</v>
      </c>
      <c r="AK53" s="185">
        <v>102.93914110000001</v>
      </c>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c r="CY53" s="86"/>
      <c r="CZ53" s="86"/>
      <c r="DA53" s="86"/>
      <c r="DB53" s="86"/>
      <c r="DC53" s="86"/>
      <c r="DD53" s="86"/>
      <c r="DE53" s="86"/>
      <c r="DF53" s="86"/>
      <c r="DG53" s="86"/>
      <c r="DH53" s="86"/>
      <c r="DI53" s="86"/>
      <c r="DJ53" s="86"/>
      <c r="DK53" s="86"/>
      <c r="DL53" s="86"/>
      <c r="DM53" s="86"/>
      <c r="DN53" s="86"/>
      <c r="DO53" s="86"/>
      <c r="DP53" s="86"/>
      <c r="DQ53" s="86"/>
      <c r="DR53" s="86"/>
      <c r="DS53" s="86"/>
      <c r="DT53" s="86"/>
      <c r="DU53" s="86"/>
      <c r="DV53" s="86"/>
      <c r="DW53" s="86"/>
      <c r="DX53" s="86"/>
      <c r="DY53" s="86"/>
      <c r="DZ53" s="86"/>
      <c r="EA53" s="86"/>
      <c r="EB53" s="86"/>
      <c r="EC53" s="86"/>
      <c r="ED53" s="86"/>
      <c r="EE53" s="86"/>
      <c r="EF53" s="86"/>
      <c r="EG53" s="86"/>
      <c r="EH53" s="86"/>
      <c r="EI53" s="86"/>
      <c r="EJ53" s="86"/>
      <c r="EK53" s="86"/>
      <c r="EL53" s="86"/>
      <c r="EM53" s="86"/>
      <c r="EN53" s="86"/>
      <c r="EO53" s="86"/>
      <c r="EP53" s="86"/>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6"/>
      <c r="FO53" s="86"/>
      <c r="FP53" s="86"/>
      <c r="FQ53" s="86"/>
      <c r="FR53" s="86"/>
      <c r="FS53" s="86"/>
      <c r="FT53" s="86"/>
      <c r="FU53" s="86"/>
      <c r="FV53" s="86"/>
      <c r="FW53" s="86"/>
      <c r="FX53" s="86"/>
      <c r="FY53" s="86"/>
      <c r="FZ53" s="86"/>
      <c r="GA53" s="86"/>
      <c r="GB53" s="86"/>
      <c r="GC53" s="86"/>
      <c r="GD53" s="86"/>
      <c r="GE53" s="86"/>
      <c r="GF53" s="86"/>
      <c r="GG53" s="86"/>
      <c r="GH53" s="86"/>
      <c r="GI53" s="86"/>
      <c r="GJ53" s="86"/>
      <c r="GK53" s="86"/>
      <c r="GL53" s="86"/>
      <c r="GM53" s="86"/>
      <c r="GN53" s="86"/>
      <c r="GO53" s="86"/>
      <c r="GP53" s="86"/>
      <c r="GQ53" s="86"/>
      <c r="GR53" s="86"/>
      <c r="GS53" s="86"/>
      <c r="GT53" s="86"/>
      <c r="GU53" s="86"/>
      <c r="GV53" s="86"/>
      <c r="GW53" s="86"/>
      <c r="GX53" s="86"/>
      <c r="GY53" s="86"/>
      <c r="GZ53" s="86"/>
      <c r="HA53" s="86"/>
      <c r="HB53" s="86"/>
      <c r="HC53" s="86"/>
      <c r="HD53" s="86"/>
      <c r="HE53" s="86"/>
      <c r="HF53" s="86"/>
      <c r="HG53" s="86"/>
      <c r="HH53" s="86"/>
      <c r="HI53" s="86"/>
      <c r="HJ53" s="86"/>
      <c r="HK53" s="86"/>
      <c r="HL53" s="86"/>
      <c r="HM53" s="86"/>
      <c r="HN53" s="86"/>
      <c r="HO53" s="86"/>
      <c r="HP53" s="86"/>
      <c r="HQ53" s="86"/>
      <c r="HR53" s="86"/>
      <c r="HS53" s="86"/>
      <c r="HT53" s="86"/>
      <c r="HU53" s="86"/>
      <c r="HV53" s="86"/>
      <c r="HW53" s="86"/>
      <c r="HX53" s="86"/>
      <c r="HY53" s="86"/>
      <c r="HZ53" s="86"/>
      <c r="IA53" s="86"/>
      <c r="IB53" s="86"/>
      <c r="IC53" s="86"/>
      <c r="ID53" s="86"/>
      <c r="IE53" s="86"/>
      <c r="IF53" s="86"/>
      <c r="IG53" s="86"/>
      <c r="IH53" s="86"/>
      <c r="II53" s="86"/>
      <c r="IJ53" s="86"/>
      <c r="IK53" s="86"/>
      <c r="IL53" s="86"/>
      <c r="IM53" s="86"/>
      <c r="IN53" s="86"/>
    </row>
    <row r="54" spans="1:248" ht="9.9499999999999993" customHeight="1">
      <c r="A54" s="150">
        <v>2.1</v>
      </c>
      <c r="B54" s="202" t="s">
        <v>11</v>
      </c>
      <c r="C54" s="40">
        <v>93.324041811846698</v>
      </c>
      <c r="D54" s="40">
        <v>78.993709067435375</v>
      </c>
      <c r="E54" s="67">
        <v>86.769580673763585</v>
      </c>
      <c r="F54" s="67">
        <v>95.42144442234121</v>
      </c>
      <c r="G54" s="40">
        <v>107.20203506672331</v>
      </c>
      <c r="H54" s="67">
        <v>89.278606567182081</v>
      </c>
      <c r="I54" s="40">
        <v>84.421080000000003</v>
      </c>
      <c r="J54" s="67">
        <v>97.356795138275317</v>
      </c>
      <c r="K54" s="40">
        <v>80.502433333333329</v>
      </c>
      <c r="L54" s="67">
        <v>50.970974582264503</v>
      </c>
      <c r="M54" s="67">
        <v>102.22852177203846</v>
      </c>
      <c r="N54" s="67">
        <v>47.785519999999998</v>
      </c>
      <c r="O54" s="67">
        <v>63.610902917254556</v>
      </c>
      <c r="P54" s="67">
        <v>13.475901407713643</v>
      </c>
      <c r="Q54" s="67">
        <v>22.458421561845476</v>
      </c>
      <c r="R54" s="67">
        <v>85.196001853114112</v>
      </c>
      <c r="S54" s="67">
        <v>96.156288403358602</v>
      </c>
      <c r="T54" s="67">
        <v>68.671555940138788</v>
      </c>
      <c r="U54" s="67">
        <v>87.475180000000009</v>
      </c>
      <c r="V54" s="40">
        <v>81.100264661081482</v>
      </c>
      <c r="W54" s="67">
        <v>76</v>
      </c>
      <c r="X54" s="40">
        <v>55.697040000000001</v>
      </c>
      <c r="Y54" s="67">
        <v>93.544455719128592</v>
      </c>
      <c r="Z54" s="40">
        <v>51.320754716981128</v>
      </c>
      <c r="AA54" s="67">
        <v>114.3175487465181</v>
      </c>
      <c r="AB54" s="40">
        <v>69.68862</v>
      </c>
      <c r="AC54" s="67">
        <v>93</v>
      </c>
      <c r="AD54" s="67">
        <v>26.623840000000001</v>
      </c>
      <c r="AE54" s="67">
        <v>74.632616219726501</v>
      </c>
      <c r="AF54" s="67">
        <v>77.971869999999996</v>
      </c>
      <c r="AG54" s="140"/>
      <c r="AH54" s="138">
        <v>48</v>
      </c>
      <c r="AI54" s="138">
        <v>18.509226598831095</v>
      </c>
      <c r="AJ54" s="138">
        <v>67.873580000000004</v>
      </c>
      <c r="AK54" s="138">
        <v>67.873580000000004</v>
      </c>
    </row>
    <row r="55" spans="1:248" ht="9.9499999999999993" customHeight="1">
      <c r="A55" s="150">
        <v>2.2000000000000002</v>
      </c>
      <c r="B55" s="202" t="s">
        <v>12</v>
      </c>
      <c r="C55" s="40">
        <v>22.076655052264808</v>
      </c>
      <c r="D55" s="40">
        <v>15.743899814134519</v>
      </c>
      <c r="E55" s="67">
        <v>22.725358591897891</v>
      </c>
      <c r="F55" s="67">
        <v>18.89530054768974</v>
      </c>
      <c r="G55" s="40">
        <v>21.77840320004351</v>
      </c>
      <c r="H55" s="67">
        <v>20.365539480266829</v>
      </c>
      <c r="I55" s="40">
        <v>23.26773</v>
      </c>
      <c r="J55" s="67">
        <v>18.310860966406551</v>
      </c>
      <c r="K55" s="40">
        <v>27.215283333333332</v>
      </c>
      <c r="L55" s="67">
        <v>15.040359673240266</v>
      </c>
      <c r="M55" s="67">
        <v>16.364172568403983</v>
      </c>
      <c r="N55" s="67">
        <v>15.83492</v>
      </c>
      <c r="O55" s="67">
        <v>23.011154724333387</v>
      </c>
      <c r="P55" s="67">
        <v>15.086582238735675</v>
      </c>
      <c r="Q55" s="67">
        <v>6.7684725645624626</v>
      </c>
      <c r="R55" s="67">
        <v>10.527990500444041</v>
      </c>
      <c r="S55" s="67">
        <v>13.033294960315333</v>
      </c>
      <c r="T55" s="67">
        <v>16.779658854880168</v>
      </c>
      <c r="U55" s="67">
        <v>10.551830000000001</v>
      </c>
      <c r="V55" s="40">
        <v>24.561157654226967</v>
      </c>
      <c r="W55" s="67">
        <v>17</v>
      </c>
      <c r="X55" s="40">
        <v>15.4939</v>
      </c>
      <c r="Y55" s="67">
        <v>19.640440948848767</v>
      </c>
      <c r="Z55" s="40">
        <v>10.062893081761006</v>
      </c>
      <c r="AA55" s="67">
        <v>15.041782729805014</v>
      </c>
      <c r="AB55" s="40">
        <v>20.00808</v>
      </c>
      <c r="AC55" s="67">
        <v>20</v>
      </c>
      <c r="AD55" s="67">
        <v>13.12486</v>
      </c>
      <c r="AE55" s="67">
        <v>23.27829672753461</v>
      </c>
      <c r="AF55" s="67">
        <v>17.419589999999999</v>
      </c>
      <c r="AG55" s="140"/>
      <c r="AH55" s="138">
        <v>15</v>
      </c>
      <c r="AI55" s="138">
        <v>13.859667335647526</v>
      </c>
      <c r="AJ55" s="138">
        <v>8.005096</v>
      </c>
      <c r="AK55" s="138">
        <v>8.005096</v>
      </c>
    </row>
    <row r="56" spans="1:248" ht="9.9499999999999993" customHeight="1">
      <c r="A56" s="150">
        <v>2.2999999999999998</v>
      </c>
      <c r="B56" s="205" t="s">
        <v>13</v>
      </c>
      <c r="C56" s="40">
        <v>27.094076655052266</v>
      </c>
      <c r="D56" s="40">
        <v>20.8920183</v>
      </c>
      <c r="E56" s="67">
        <v>14</v>
      </c>
      <c r="F56" s="67">
        <v>19.070873027158719</v>
      </c>
      <c r="G56" s="40">
        <v>20.433925683013356</v>
      </c>
      <c r="H56" s="67">
        <v>18</v>
      </c>
      <c r="I56" s="40">
        <v>13.5989033</v>
      </c>
      <c r="J56" s="67">
        <v>14.000000738888927</v>
      </c>
      <c r="K56" s="40">
        <v>11.580928333333333</v>
      </c>
      <c r="L56" s="67">
        <v>13</v>
      </c>
      <c r="M56" s="67">
        <v>18</v>
      </c>
      <c r="N56" s="67">
        <v>28.69997</v>
      </c>
      <c r="O56" s="67">
        <v>17.668903160421412</v>
      </c>
      <c r="P56" s="67" t="s">
        <v>558</v>
      </c>
      <c r="Q56" s="67">
        <v>11.251923142856905</v>
      </c>
      <c r="R56" s="67">
        <v>4</v>
      </c>
      <c r="S56" s="67">
        <v>8</v>
      </c>
      <c r="T56" s="67">
        <v>12</v>
      </c>
      <c r="U56" s="67">
        <v>18.450119000000001</v>
      </c>
      <c r="V56" s="40">
        <v>14.332472581873574</v>
      </c>
      <c r="W56" s="67">
        <v>16</v>
      </c>
      <c r="X56" s="40">
        <v>14</v>
      </c>
      <c r="Y56" s="67">
        <v>22</v>
      </c>
      <c r="Z56" s="40">
        <v>6.0377358490566042</v>
      </c>
      <c r="AA56" s="67">
        <v>11.030640668523677</v>
      </c>
      <c r="AB56" s="40">
        <v>25</v>
      </c>
      <c r="AC56" s="67">
        <v>26</v>
      </c>
      <c r="AD56" s="67">
        <v>11.442565999999999</v>
      </c>
      <c r="AE56" s="67">
        <v>17.248554664331316</v>
      </c>
      <c r="AF56" s="67">
        <v>18.493649999999999</v>
      </c>
      <c r="AG56" s="140"/>
      <c r="AH56" s="138">
        <v>12.999999999999998</v>
      </c>
      <c r="AI56" s="138">
        <v>7.9013663631013484</v>
      </c>
      <c r="AJ56" s="138">
        <v>3</v>
      </c>
      <c r="AK56" s="138">
        <v>3</v>
      </c>
    </row>
    <row r="57" spans="1:248" ht="9.9499999999999993" customHeight="1">
      <c r="A57" s="150" t="s">
        <v>0</v>
      </c>
      <c r="B57" s="205" t="s">
        <v>14</v>
      </c>
      <c r="C57" s="67" t="s">
        <v>248</v>
      </c>
      <c r="D57" s="40">
        <v>20.392510000000001</v>
      </c>
      <c r="E57" s="67">
        <v>14.338197282193567</v>
      </c>
      <c r="F57" s="67">
        <v>18.081175015461927</v>
      </c>
      <c r="G57" s="40" t="s">
        <v>248</v>
      </c>
      <c r="H57" s="67">
        <v>18.006894549481355</v>
      </c>
      <c r="I57" s="40">
        <v>13.1937</v>
      </c>
      <c r="J57" s="67">
        <v>12.645040667377147</v>
      </c>
      <c r="K57" s="40">
        <v>10.675701666666667</v>
      </c>
      <c r="L57" s="67">
        <v>13.092216235888165</v>
      </c>
      <c r="M57" s="67">
        <v>18.233809881885819</v>
      </c>
      <c r="N57" s="67" t="s">
        <v>248</v>
      </c>
      <c r="O57" s="67">
        <v>16.291313099331006</v>
      </c>
      <c r="P57" s="67">
        <v>7.5587681197341565</v>
      </c>
      <c r="Q57" s="67" t="s">
        <v>248</v>
      </c>
      <c r="R57" s="67">
        <v>4</v>
      </c>
      <c r="S57" s="67">
        <v>7.7151848015949245</v>
      </c>
      <c r="T57" s="67">
        <v>12.429720845826765</v>
      </c>
      <c r="U57" s="67">
        <v>14.44933</v>
      </c>
      <c r="V57" s="40">
        <v>14.019659177456207</v>
      </c>
      <c r="W57" s="67">
        <v>16</v>
      </c>
      <c r="X57" s="40">
        <v>13.59421</v>
      </c>
      <c r="Y57" s="67">
        <v>22.049117829252197</v>
      </c>
      <c r="Z57" s="40" t="s">
        <v>248</v>
      </c>
      <c r="AA57" s="67">
        <v>11</v>
      </c>
      <c r="AB57" s="40">
        <v>23.07497</v>
      </c>
      <c r="AC57" s="67">
        <v>19</v>
      </c>
      <c r="AD57" s="67">
        <v>9.5995109999999997</v>
      </c>
      <c r="AE57" s="67">
        <v>14.506590846695989</v>
      </c>
      <c r="AF57" s="67">
        <v>16.819590000000002</v>
      </c>
      <c r="AG57" s="140"/>
      <c r="AH57" s="138" t="s">
        <v>248</v>
      </c>
      <c r="AI57" s="138" t="s">
        <v>248</v>
      </c>
      <c r="AJ57" s="138">
        <v>2.7896909999999999</v>
      </c>
      <c r="AK57" s="138">
        <v>2.7896909999999999</v>
      </c>
    </row>
    <row r="58" spans="1:248" ht="9.9499999999999993" customHeight="1">
      <c r="A58" s="150" t="s">
        <v>1</v>
      </c>
      <c r="B58" s="205" t="s">
        <v>15</v>
      </c>
      <c r="C58" s="67" t="s">
        <v>248</v>
      </c>
      <c r="D58" s="40">
        <v>1</v>
      </c>
      <c r="E58" s="67" t="s">
        <v>248</v>
      </c>
      <c r="F58" s="67">
        <v>0.63335282717639096</v>
      </c>
      <c r="G58" s="40" t="s">
        <v>248</v>
      </c>
      <c r="H58" s="67" t="s">
        <v>248</v>
      </c>
      <c r="I58" s="40">
        <v>1</v>
      </c>
      <c r="J58" s="67">
        <v>0.88496164670630917</v>
      </c>
      <c r="K58" s="40">
        <v>0.90522666666666673</v>
      </c>
      <c r="L58" s="67" t="s">
        <v>248</v>
      </c>
      <c r="M58" s="67" t="s">
        <v>248</v>
      </c>
      <c r="N58" s="67" t="s">
        <v>248</v>
      </c>
      <c r="O58" s="67">
        <v>1.377584053633097</v>
      </c>
      <c r="P58" s="230">
        <v>1.3397090376262499</v>
      </c>
      <c r="Q58" s="67" t="s">
        <v>248</v>
      </c>
      <c r="R58" s="67" t="s">
        <v>248</v>
      </c>
      <c r="S58" s="67" t="s">
        <v>248</v>
      </c>
      <c r="T58" s="67" t="s">
        <v>248</v>
      </c>
      <c r="U58" s="67">
        <v>4.0007890000000002</v>
      </c>
      <c r="V58" s="40">
        <v>0.31281340441736483</v>
      </c>
      <c r="W58" s="67" t="s">
        <v>248</v>
      </c>
      <c r="X58" s="40">
        <v>0</v>
      </c>
      <c r="Y58" s="67" t="s">
        <v>248</v>
      </c>
      <c r="Z58" s="40" t="s">
        <v>248</v>
      </c>
      <c r="AA58" s="67" t="s">
        <v>248</v>
      </c>
      <c r="AB58" s="40">
        <v>2.0755780000000001</v>
      </c>
      <c r="AC58" s="67">
        <v>7</v>
      </c>
      <c r="AD58" s="67">
        <v>1.8430550000000001</v>
      </c>
      <c r="AE58" s="67">
        <v>3.0027200245688896</v>
      </c>
      <c r="AF58" s="67">
        <v>1.6720440000000001</v>
      </c>
      <c r="AG58" s="140"/>
      <c r="AH58" s="138" t="s">
        <v>248</v>
      </c>
      <c r="AI58" s="138" t="s">
        <v>248</v>
      </c>
      <c r="AJ58" s="138">
        <v>0.36404039999999999</v>
      </c>
      <c r="AK58" s="138">
        <v>0.36404039999999999</v>
      </c>
    </row>
    <row r="59" spans="1:248" ht="9.9499999999999993" customHeight="1">
      <c r="A59" s="150">
        <v>2.4</v>
      </c>
      <c r="B59" s="205" t="s">
        <v>16</v>
      </c>
      <c r="C59" s="67" t="s">
        <v>248</v>
      </c>
      <c r="D59" s="40">
        <v>0.36607099999999998</v>
      </c>
      <c r="E59" s="67">
        <v>3.7869707152813028</v>
      </c>
      <c r="F59" s="67">
        <v>3.3141824862469709</v>
      </c>
      <c r="G59" s="40">
        <v>11.300430963827949</v>
      </c>
      <c r="H59" s="67">
        <v>11.396261291035106</v>
      </c>
      <c r="I59" s="40">
        <v>1.512416</v>
      </c>
      <c r="J59" s="67">
        <v>0.77073494067767756</v>
      </c>
      <c r="K59" s="40">
        <v>5.8241883333333337</v>
      </c>
      <c r="L59" s="67">
        <v>5.128302947393105</v>
      </c>
      <c r="M59" s="67">
        <v>9.581525533722548</v>
      </c>
      <c r="N59" s="67" t="s">
        <v>248</v>
      </c>
      <c r="O59" s="67">
        <v>4.9158512550866167</v>
      </c>
      <c r="P59" s="230"/>
      <c r="Q59" s="67">
        <v>0.628234365832125</v>
      </c>
      <c r="R59" s="67">
        <v>11.529798256433581</v>
      </c>
      <c r="S59" s="67">
        <v>15.799999584803086</v>
      </c>
      <c r="T59" s="67">
        <v>3.2704396064843206</v>
      </c>
      <c r="U59" s="67">
        <v>6.2997779999999999</v>
      </c>
      <c r="V59" s="40">
        <v>4.6867894135567409</v>
      </c>
      <c r="W59" s="67">
        <v>6</v>
      </c>
      <c r="X59" s="40">
        <v>0</v>
      </c>
      <c r="Y59" s="67">
        <v>7.0186932273035127</v>
      </c>
      <c r="Z59" s="40">
        <v>4.0251572327044025</v>
      </c>
      <c r="AA59" s="67">
        <v>9.0250696378830089</v>
      </c>
      <c r="AB59" s="40">
        <v>3.4142739999999998</v>
      </c>
      <c r="AC59" s="67" t="s">
        <v>248</v>
      </c>
      <c r="AD59" s="67">
        <v>1.074327</v>
      </c>
      <c r="AE59" s="67">
        <v>5.0600436584690121</v>
      </c>
      <c r="AF59" s="67">
        <v>2.420166</v>
      </c>
      <c r="AG59" s="140"/>
      <c r="AH59" s="138">
        <v>2</v>
      </c>
      <c r="AI59" s="138">
        <v>1.1277350523132343</v>
      </c>
      <c r="AJ59" s="138">
        <v>0.2846341</v>
      </c>
      <c r="AK59" s="138">
        <v>0.2846341</v>
      </c>
    </row>
    <row r="60" spans="1:248" ht="9.9499999999999993" customHeight="1">
      <c r="A60" s="150">
        <v>2.5</v>
      </c>
      <c r="B60" s="205" t="s">
        <v>17</v>
      </c>
      <c r="C60" s="40">
        <v>4.013937282229965</v>
      </c>
      <c r="D60" s="40">
        <v>4.653314</v>
      </c>
      <c r="E60" s="67">
        <v>3.5934697177641834</v>
      </c>
      <c r="F60" s="67">
        <v>3</v>
      </c>
      <c r="G60" s="40">
        <v>3.8569453176860868</v>
      </c>
      <c r="H60" s="67">
        <v>0</v>
      </c>
      <c r="I60" s="40">
        <v>4.1478060000000001</v>
      </c>
      <c r="J60" s="67" t="s">
        <v>248</v>
      </c>
      <c r="K60" s="40">
        <v>6.8530199999999999</v>
      </c>
      <c r="L60" s="67">
        <v>0</v>
      </c>
      <c r="M60" s="67">
        <v>0.29988353831945125</v>
      </c>
      <c r="N60" s="67">
        <v>8.7633209999999995</v>
      </c>
      <c r="O60" s="67">
        <v>2.9358864406139076</v>
      </c>
      <c r="P60" s="67">
        <v>2.8534983515620911</v>
      </c>
      <c r="Q60" s="67">
        <v>0.4286166613613398</v>
      </c>
      <c r="R60" s="67">
        <v>0</v>
      </c>
      <c r="S60" s="67">
        <v>0.36642134673293514</v>
      </c>
      <c r="T60" s="67">
        <v>2.1120124163011864</v>
      </c>
      <c r="U60" s="67">
        <v>2.4667150000000002</v>
      </c>
      <c r="V60" s="40">
        <v>5.0801075780654994</v>
      </c>
      <c r="W60" s="67">
        <v>4</v>
      </c>
      <c r="X60" s="40">
        <v>6.3362129999999999</v>
      </c>
      <c r="Y60" s="67">
        <v>0.67225573654868775</v>
      </c>
      <c r="Z60" s="40">
        <v>1.0062893081761006</v>
      </c>
      <c r="AA60" s="67">
        <v>1.0027855153203342</v>
      </c>
      <c r="AB60" s="40">
        <v>0.96965970000000001</v>
      </c>
      <c r="AC60" s="67" t="s">
        <v>248</v>
      </c>
      <c r="AD60" s="67">
        <v>2.9306589999999999</v>
      </c>
      <c r="AE60" s="67">
        <v>2</v>
      </c>
      <c r="AF60" s="67">
        <v>5.0410089999999999</v>
      </c>
      <c r="AG60" s="140"/>
      <c r="AH60" s="138">
        <v>1</v>
      </c>
      <c r="AI60" s="138">
        <v>0.3371897447117545</v>
      </c>
      <c r="AJ60" s="138">
        <v>1.568346</v>
      </c>
      <c r="AK60" s="138">
        <v>1.568346</v>
      </c>
    </row>
    <row r="61" spans="1:248" ht="9.9499999999999993" customHeight="1">
      <c r="A61" s="150">
        <v>2.6</v>
      </c>
      <c r="B61" s="203" t="s">
        <v>18</v>
      </c>
      <c r="C61" s="40">
        <v>25.087108013937282</v>
      </c>
      <c r="D61" s="40">
        <v>12.911739847569738</v>
      </c>
      <c r="E61" s="67">
        <v>12.958801498071693</v>
      </c>
      <c r="F61" s="67">
        <v>8.7940583321088823</v>
      </c>
      <c r="G61" s="40">
        <v>21.56434162842465</v>
      </c>
      <c r="H61" s="67">
        <v>21.116288218336067</v>
      </c>
      <c r="I61" s="40">
        <v>19.961600000000001</v>
      </c>
      <c r="J61" s="67">
        <v>4.084303215560448</v>
      </c>
      <c r="K61" s="40">
        <v>16.95185</v>
      </c>
      <c r="L61" s="67">
        <v>10.852219306851591</v>
      </c>
      <c r="M61" s="67">
        <v>15.633132685758865</v>
      </c>
      <c r="N61" s="67">
        <v>25.89442</v>
      </c>
      <c r="O61" s="67">
        <v>18.147647446049795</v>
      </c>
      <c r="P61" s="67" t="s">
        <v>46</v>
      </c>
      <c r="Q61" s="67">
        <v>7.4588165643688953</v>
      </c>
      <c r="R61" s="67">
        <v>18.305514203193773</v>
      </c>
      <c r="S61" s="67">
        <v>18.539616423495062</v>
      </c>
      <c r="T61" s="67">
        <v>17.811793752840735</v>
      </c>
      <c r="U61" s="67">
        <v>6.1755930000000001</v>
      </c>
      <c r="V61" s="40">
        <v>14.830318926123383</v>
      </c>
      <c r="W61" s="67">
        <v>22</v>
      </c>
      <c r="X61" s="40">
        <v>22.821269999999998</v>
      </c>
      <c r="Y61" s="67">
        <v>15.857752952826859</v>
      </c>
      <c r="Z61" s="40">
        <v>23.815513626834385</v>
      </c>
      <c r="AA61" s="67">
        <v>16.044568245125348</v>
      </c>
      <c r="AB61" s="40">
        <v>19.32338</v>
      </c>
      <c r="AC61" s="67">
        <v>26</v>
      </c>
      <c r="AD61" s="67">
        <v>12.182639999999999</v>
      </c>
      <c r="AE61" s="67">
        <v>17.945826290303206</v>
      </c>
      <c r="AF61" s="67">
        <v>23.038270000000001</v>
      </c>
      <c r="AG61" s="140"/>
      <c r="AH61" s="138">
        <v>12</v>
      </c>
      <c r="AI61" s="138">
        <v>10.032057239700046</v>
      </c>
      <c r="AJ61" s="138">
        <v>8.1673650000000002</v>
      </c>
      <c r="AK61" s="138">
        <v>8.1673650000000002</v>
      </c>
    </row>
    <row r="62" spans="1:248" ht="9.9499999999999993" customHeight="1">
      <c r="A62" s="150">
        <v>2.7</v>
      </c>
      <c r="B62" s="203" t="s">
        <v>19</v>
      </c>
      <c r="C62" s="67" t="s">
        <v>248</v>
      </c>
      <c r="D62" s="40">
        <v>1.722224</v>
      </c>
      <c r="E62" s="67" t="s">
        <v>248</v>
      </c>
      <c r="F62" s="67" t="s">
        <v>248</v>
      </c>
      <c r="G62" s="40" t="s">
        <v>248</v>
      </c>
      <c r="H62" s="67" t="s">
        <v>248</v>
      </c>
      <c r="I62" s="40">
        <v>10.55538</v>
      </c>
      <c r="J62" s="67">
        <v>0.88675674680105054</v>
      </c>
      <c r="K62" s="40">
        <v>1.5043028333333335</v>
      </c>
      <c r="L62" s="67" t="s">
        <v>248</v>
      </c>
      <c r="M62" s="67" t="s">
        <v>248</v>
      </c>
      <c r="N62" s="67" t="s">
        <v>248</v>
      </c>
      <c r="O62" s="67">
        <v>0.41869754705981099</v>
      </c>
      <c r="P62" s="48" t="s">
        <v>248</v>
      </c>
      <c r="Q62" s="67"/>
      <c r="R62" s="67" t="s">
        <v>248</v>
      </c>
      <c r="S62" s="67" t="s">
        <v>248</v>
      </c>
      <c r="T62" s="67" t="s">
        <v>248</v>
      </c>
      <c r="U62" s="67" t="s">
        <v>248</v>
      </c>
      <c r="V62" s="40">
        <v>0.82595906321401369</v>
      </c>
      <c r="W62" s="67" t="s">
        <v>248</v>
      </c>
      <c r="X62" s="40">
        <v>54.544310000000003</v>
      </c>
      <c r="Y62" s="67" t="s">
        <v>248</v>
      </c>
      <c r="Z62" s="40" t="s">
        <v>248</v>
      </c>
      <c r="AA62" s="67" t="s">
        <v>248</v>
      </c>
      <c r="AB62" s="40">
        <v>7.5052989999999999</v>
      </c>
      <c r="AC62" s="67">
        <v>6</v>
      </c>
      <c r="AD62" s="67">
        <v>0.21284690000000001</v>
      </c>
      <c r="AE62" s="67" t="s">
        <v>248</v>
      </c>
      <c r="AF62" s="67">
        <v>2.9677639999999998</v>
      </c>
      <c r="AG62" s="140"/>
      <c r="AH62" s="138" t="s">
        <v>248</v>
      </c>
      <c r="AI62" s="138" t="s">
        <v>248</v>
      </c>
      <c r="AJ62" s="138">
        <v>14.04012</v>
      </c>
      <c r="AK62" s="138">
        <v>14.04012</v>
      </c>
    </row>
    <row r="63" spans="1:248" s="149" customFormat="1" ht="9.9499999999999993" customHeight="1">
      <c r="A63" s="145">
        <v>3</v>
      </c>
      <c r="B63" s="204" t="s">
        <v>20</v>
      </c>
      <c r="C63" s="198">
        <v>649.25435540069691</v>
      </c>
      <c r="D63" s="198">
        <v>623.62311909370703</v>
      </c>
      <c r="E63" s="189">
        <v>648.45743788364314</v>
      </c>
      <c r="F63" s="189">
        <v>621.77664093081808</v>
      </c>
      <c r="G63" s="198">
        <v>643.03950391638352</v>
      </c>
      <c r="H63" s="189">
        <v>663.61153653643885</v>
      </c>
      <c r="I63" s="198">
        <v>630.11623999999995</v>
      </c>
      <c r="J63" s="189">
        <v>742.955399211535</v>
      </c>
      <c r="K63" s="198">
        <v>637.57751666666661</v>
      </c>
      <c r="L63" s="189">
        <v>689.48515468936648</v>
      </c>
      <c r="M63" s="189">
        <v>686.29311534782698</v>
      </c>
      <c r="N63" s="189">
        <v>594.72987999999998</v>
      </c>
      <c r="O63" s="189">
        <v>710.31841844134397</v>
      </c>
      <c r="P63" s="189">
        <v>612.51169605944801</v>
      </c>
      <c r="Q63" s="189">
        <v>675.83242458591144</v>
      </c>
      <c r="R63" s="189">
        <v>639.6029005427647</v>
      </c>
      <c r="S63" s="189">
        <v>644.32348964371533</v>
      </c>
      <c r="T63" s="189">
        <v>676.86338955921019</v>
      </c>
      <c r="U63" s="189">
        <v>624.21897999999999</v>
      </c>
      <c r="V63" s="198">
        <v>666.23253998476775</v>
      </c>
      <c r="W63" s="189">
        <v>639</v>
      </c>
      <c r="X63" s="198">
        <v>614.54814999999996</v>
      </c>
      <c r="Y63" s="189">
        <v>645.25306132077299</v>
      </c>
      <c r="Z63" s="198">
        <v>677.23270440251588</v>
      </c>
      <c r="AA63" s="189">
        <v>631.75487465181061</v>
      </c>
      <c r="AB63" s="198">
        <v>696.87999000000002</v>
      </c>
      <c r="AC63" s="189">
        <v>611</v>
      </c>
      <c r="AD63" s="189">
        <v>679.09766000000002</v>
      </c>
      <c r="AE63" s="189">
        <v>634.91689171502401</v>
      </c>
      <c r="AF63" s="189">
        <v>635.36215000000004</v>
      </c>
      <c r="AG63" s="140"/>
      <c r="AH63" s="147">
        <v>696</v>
      </c>
      <c r="AI63" s="147">
        <v>702.77192738969404</v>
      </c>
      <c r="AJ63" s="147">
        <v>695.37227000000007</v>
      </c>
      <c r="AK63" s="185">
        <v>695.37227000000007</v>
      </c>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86"/>
      <c r="CD63" s="86"/>
      <c r="CE63" s="86"/>
      <c r="CF63" s="86"/>
      <c r="CG63" s="86"/>
      <c r="CH63" s="86"/>
      <c r="CI63" s="86"/>
      <c r="CJ63" s="86"/>
      <c r="CK63" s="86"/>
      <c r="CL63" s="86"/>
      <c r="CM63" s="86"/>
      <c r="CN63" s="86"/>
      <c r="CO63" s="86"/>
      <c r="CP63" s="86"/>
      <c r="CQ63" s="86"/>
      <c r="CR63" s="86"/>
      <c r="CS63" s="86"/>
      <c r="CT63" s="86"/>
      <c r="CU63" s="86"/>
      <c r="CV63" s="86"/>
      <c r="CW63" s="86"/>
      <c r="CX63" s="86"/>
      <c r="CY63" s="86"/>
      <c r="CZ63" s="86"/>
      <c r="DA63" s="86"/>
      <c r="DB63" s="86"/>
      <c r="DC63" s="86"/>
      <c r="DD63" s="86"/>
      <c r="DE63" s="86"/>
      <c r="DF63" s="86"/>
      <c r="DG63" s="86"/>
      <c r="DH63" s="86"/>
      <c r="DI63" s="86"/>
      <c r="DJ63" s="86"/>
      <c r="DK63" s="86"/>
      <c r="DL63" s="86"/>
      <c r="DM63" s="86"/>
      <c r="DN63" s="86"/>
      <c r="DO63" s="86"/>
      <c r="DP63" s="86"/>
      <c r="DQ63" s="86"/>
      <c r="DR63" s="86"/>
      <c r="DS63" s="86"/>
      <c r="DT63" s="86"/>
      <c r="DU63" s="86"/>
      <c r="DV63" s="86"/>
      <c r="DW63" s="86"/>
      <c r="DX63" s="86"/>
      <c r="DY63" s="86"/>
      <c r="DZ63" s="86"/>
      <c r="EA63" s="86"/>
      <c r="EB63" s="86"/>
      <c r="EC63" s="86"/>
      <c r="ED63" s="86"/>
      <c r="EE63" s="86"/>
      <c r="EF63" s="86"/>
      <c r="EG63" s="86"/>
      <c r="EH63" s="86"/>
      <c r="EI63" s="86"/>
      <c r="EJ63" s="86"/>
      <c r="EK63" s="86"/>
      <c r="EL63" s="86"/>
      <c r="EM63" s="86"/>
      <c r="EN63" s="86"/>
      <c r="EO63" s="86"/>
      <c r="EP63" s="86"/>
      <c r="EQ63" s="86"/>
      <c r="ER63" s="86"/>
      <c r="ES63" s="86"/>
      <c r="ET63" s="86"/>
      <c r="EU63" s="86"/>
      <c r="EV63" s="86"/>
      <c r="EW63" s="86"/>
      <c r="EX63" s="86"/>
      <c r="EY63" s="86"/>
      <c r="EZ63" s="86"/>
      <c r="FA63" s="86"/>
      <c r="FB63" s="86"/>
      <c r="FC63" s="86"/>
      <c r="FD63" s="86"/>
      <c r="FE63" s="86"/>
      <c r="FF63" s="86"/>
      <c r="FG63" s="86"/>
      <c r="FH63" s="86"/>
      <c r="FI63" s="86"/>
      <c r="FJ63" s="86"/>
      <c r="FK63" s="86"/>
      <c r="FL63" s="86"/>
      <c r="FM63" s="86"/>
      <c r="FN63" s="86"/>
      <c r="FO63" s="86"/>
      <c r="FP63" s="86"/>
      <c r="FQ63" s="86"/>
      <c r="FR63" s="86"/>
      <c r="FS63" s="86"/>
      <c r="FT63" s="86"/>
      <c r="FU63" s="86"/>
      <c r="FV63" s="86"/>
      <c r="FW63" s="86"/>
      <c r="FX63" s="86"/>
      <c r="FY63" s="86"/>
      <c r="FZ63" s="86"/>
      <c r="GA63" s="86"/>
      <c r="GB63" s="86"/>
      <c r="GC63" s="86"/>
      <c r="GD63" s="86"/>
      <c r="GE63" s="86"/>
      <c r="GF63" s="86"/>
      <c r="GG63" s="86"/>
      <c r="GH63" s="86"/>
      <c r="GI63" s="86"/>
      <c r="GJ63" s="86"/>
      <c r="GK63" s="86"/>
      <c r="GL63" s="86"/>
      <c r="GM63" s="86"/>
      <c r="GN63" s="86"/>
      <c r="GO63" s="86"/>
      <c r="GP63" s="86"/>
      <c r="GQ63" s="86"/>
      <c r="GR63" s="86"/>
      <c r="GS63" s="86"/>
      <c r="GT63" s="86"/>
      <c r="GU63" s="86"/>
      <c r="GV63" s="86"/>
      <c r="GW63" s="86"/>
      <c r="GX63" s="86"/>
      <c r="GY63" s="86"/>
      <c r="GZ63" s="86"/>
      <c r="HA63" s="86"/>
      <c r="HB63" s="86"/>
      <c r="HC63" s="86"/>
      <c r="HD63" s="86"/>
      <c r="HE63" s="86"/>
      <c r="HF63" s="86"/>
      <c r="HG63" s="86"/>
      <c r="HH63" s="86"/>
      <c r="HI63" s="86"/>
      <c r="HJ63" s="86"/>
      <c r="HK63" s="86"/>
      <c r="HL63" s="86"/>
      <c r="HM63" s="86"/>
      <c r="HN63" s="86"/>
      <c r="HO63" s="86"/>
      <c r="HP63" s="86"/>
      <c r="HQ63" s="86"/>
      <c r="HR63" s="86"/>
      <c r="HS63" s="86"/>
      <c r="HT63" s="86"/>
      <c r="HU63" s="86"/>
      <c r="HV63" s="86"/>
      <c r="HW63" s="86"/>
      <c r="HX63" s="86"/>
      <c r="HY63" s="86"/>
      <c r="HZ63" s="86"/>
      <c r="IA63" s="86"/>
      <c r="IB63" s="86"/>
      <c r="IC63" s="86"/>
      <c r="ID63" s="86"/>
      <c r="IE63" s="86"/>
      <c r="IF63" s="86"/>
      <c r="IG63" s="86"/>
      <c r="IH63" s="86"/>
      <c r="II63" s="86"/>
      <c r="IJ63" s="86"/>
      <c r="IK63" s="86"/>
      <c r="IL63" s="86"/>
      <c r="IM63" s="86"/>
      <c r="IN63" s="86"/>
    </row>
    <row r="64" spans="1:248" ht="9.9499999999999993" customHeight="1">
      <c r="A64" s="150">
        <v>3.1</v>
      </c>
      <c r="B64" s="202" t="s">
        <v>21</v>
      </c>
      <c r="C64" s="40">
        <v>512.78048780487813</v>
      </c>
      <c r="D64" s="40">
        <v>495.9803</v>
      </c>
      <c r="E64" s="67">
        <v>505.72552677314917</v>
      </c>
      <c r="F64" s="67">
        <v>514.18807557412583</v>
      </c>
      <c r="G64" s="40">
        <v>479.38033730943374</v>
      </c>
      <c r="H64" s="67">
        <v>531.83143642421703</v>
      </c>
      <c r="I64" s="40">
        <v>504.94099999999997</v>
      </c>
      <c r="J64" s="67">
        <v>509.22062687553313</v>
      </c>
      <c r="K64" s="40">
        <v>493.93616666666662</v>
      </c>
      <c r="L64" s="67">
        <v>501.43550409259956</v>
      </c>
      <c r="M64" s="67">
        <v>502.86323913049296</v>
      </c>
      <c r="N64" s="67">
        <v>481.88049999999998</v>
      </c>
      <c r="O64" s="67">
        <v>514.30252558286327</v>
      </c>
      <c r="P64" s="67">
        <v>449.7298655083992</v>
      </c>
      <c r="Q64" s="67">
        <v>471.47349482751139</v>
      </c>
      <c r="R64" s="67">
        <v>510.13636529996893</v>
      </c>
      <c r="S64" s="67">
        <v>500.65889994277705</v>
      </c>
      <c r="T64" s="67">
        <v>514.64988837020508</v>
      </c>
      <c r="U64" s="67">
        <v>496.7919</v>
      </c>
      <c r="V64" s="40">
        <v>496.07213442498096</v>
      </c>
      <c r="W64" s="67">
        <v>522</v>
      </c>
      <c r="X64" s="40">
        <v>484.24709999999999</v>
      </c>
      <c r="Y64" s="67">
        <v>503.48184833104102</v>
      </c>
      <c r="Z64" s="40">
        <v>503.1446540880504</v>
      </c>
      <c r="AA64" s="67">
        <v>501.39275766016715</v>
      </c>
      <c r="AB64" s="40">
        <v>520.09050000000002</v>
      </c>
      <c r="AC64" s="67">
        <v>482</v>
      </c>
      <c r="AD64" s="67">
        <v>511.15690000000001</v>
      </c>
      <c r="AE64" s="67">
        <v>504.45306059154154</v>
      </c>
      <c r="AF64" s="67">
        <v>523.92240000000004</v>
      </c>
      <c r="AG64" s="140"/>
      <c r="AH64" s="138">
        <v>540</v>
      </c>
      <c r="AI64" s="138">
        <v>534.40405226534028</v>
      </c>
      <c r="AJ64" s="138">
        <v>549.07380000000001</v>
      </c>
      <c r="AK64" s="138">
        <v>549.07380000000001</v>
      </c>
    </row>
    <row r="65" spans="1:248" ht="9.9499999999999993" customHeight="1">
      <c r="A65" s="150">
        <v>3.2</v>
      </c>
      <c r="B65" s="203" t="s">
        <v>22</v>
      </c>
      <c r="C65" s="40">
        <v>87.303135888501743</v>
      </c>
      <c r="D65" s="40">
        <v>76.768339093707112</v>
      </c>
      <c r="E65" s="67">
        <v>95.600732998143684</v>
      </c>
      <c r="F65" s="67">
        <v>64.984300959091129</v>
      </c>
      <c r="G65" s="40">
        <v>117.86029136553374</v>
      </c>
      <c r="H65" s="67">
        <v>82.037157303173643</v>
      </c>
      <c r="I65" s="40">
        <v>80.249719999999996</v>
      </c>
      <c r="J65" s="67">
        <v>134.30880708852035</v>
      </c>
      <c r="K65" s="40">
        <v>93.405799999999999</v>
      </c>
      <c r="L65" s="67">
        <v>134.3540476877335</v>
      </c>
      <c r="M65" s="67">
        <v>105.1842675883465</v>
      </c>
      <c r="N65" s="67">
        <v>76.094930000000005</v>
      </c>
      <c r="O65" s="67">
        <v>128.97600339449372</v>
      </c>
      <c r="P65" s="67">
        <v>90.059422261761469</v>
      </c>
      <c r="Q65" s="67">
        <v>119.10505211194737</v>
      </c>
      <c r="R65" s="67">
        <v>92.98884096220543</v>
      </c>
      <c r="S65" s="67">
        <v>91.072609195207562</v>
      </c>
      <c r="T65" s="67">
        <v>111.46411362489177</v>
      </c>
      <c r="U65" s="67">
        <v>75.649979999999999</v>
      </c>
      <c r="V65" s="40">
        <v>112.0169268849962</v>
      </c>
      <c r="W65" s="67">
        <v>79</v>
      </c>
      <c r="X65" s="40">
        <v>81.037210000000002</v>
      </c>
      <c r="Y65" s="67">
        <v>89.142592688052133</v>
      </c>
      <c r="Z65" s="40">
        <v>115.72327044025157</v>
      </c>
      <c r="AA65" s="67">
        <v>89.247910863509745</v>
      </c>
      <c r="AB65" s="40">
        <v>128.4768</v>
      </c>
      <c r="AC65" s="67">
        <v>80</v>
      </c>
      <c r="AD65" s="67">
        <v>115.6352</v>
      </c>
      <c r="AE65" s="67">
        <v>80.010597883463603</v>
      </c>
      <c r="AF65" s="67">
        <v>62.404980000000002</v>
      </c>
      <c r="AG65" s="140"/>
      <c r="AH65" s="138">
        <v>103.99999999999999</v>
      </c>
      <c r="AI65" s="138">
        <v>87.240301029293789</v>
      </c>
      <c r="AJ65" s="138">
        <v>76.461849999999998</v>
      </c>
      <c r="AK65" s="138">
        <v>76.461849999999998</v>
      </c>
    </row>
    <row r="66" spans="1:248" ht="9.9499999999999993" customHeight="1">
      <c r="A66" s="150">
        <v>3.3</v>
      </c>
      <c r="B66" s="203" t="s">
        <v>23</v>
      </c>
      <c r="C66" s="40">
        <v>49.170731707317074</v>
      </c>
      <c r="D66" s="40">
        <v>50.874479999999998</v>
      </c>
      <c r="E66" s="67">
        <v>47.13117811235027</v>
      </c>
      <c r="F66" s="67">
        <v>42.604264397601106</v>
      </c>
      <c r="G66" s="40">
        <v>45.798875241416063</v>
      </c>
      <c r="H66" s="67">
        <v>49.742942809048152</v>
      </c>
      <c r="I66" s="40">
        <v>44.925519999999999</v>
      </c>
      <c r="J66" s="67">
        <v>99.4259652474815</v>
      </c>
      <c r="K66" s="40">
        <v>50.235549999999996</v>
      </c>
      <c r="L66" s="67">
        <v>53.695602909033454</v>
      </c>
      <c r="M66" s="67">
        <v>78.245608628987512</v>
      </c>
      <c r="N66" s="67">
        <v>36.754449999999999</v>
      </c>
      <c r="O66" s="67">
        <v>67.039889463986938</v>
      </c>
      <c r="P66" s="67">
        <v>72.722408289287756</v>
      </c>
      <c r="Q66" s="67">
        <v>85.253877646452622</v>
      </c>
      <c r="R66" s="67">
        <v>36.477694280590377</v>
      </c>
      <c r="S66" s="67">
        <v>52.591980505730646</v>
      </c>
      <c r="T66" s="67">
        <v>50.749387564113334</v>
      </c>
      <c r="U66" s="67">
        <v>51.777099999999997</v>
      </c>
      <c r="V66" s="40">
        <v>58.143478674790558</v>
      </c>
      <c r="W66" s="67">
        <v>37</v>
      </c>
      <c r="X66" s="40">
        <v>49.263840000000002</v>
      </c>
      <c r="Y66" s="67">
        <v>52.628620301679874</v>
      </c>
      <c r="Z66" s="40">
        <v>58.364779874213951</v>
      </c>
      <c r="AA66" s="67">
        <v>41.114206128133702</v>
      </c>
      <c r="AB66" s="40">
        <v>48.312690000000003</v>
      </c>
      <c r="AC66" s="67">
        <v>49</v>
      </c>
      <c r="AD66" s="67">
        <v>52.30556</v>
      </c>
      <c r="AE66" s="67">
        <v>50.45323324001901</v>
      </c>
      <c r="AF66" s="67">
        <v>49.034770000000002</v>
      </c>
      <c r="AG66" s="140"/>
      <c r="AH66" s="138">
        <v>51.999999999999993</v>
      </c>
      <c r="AI66" s="138">
        <v>81.127574095059899</v>
      </c>
      <c r="AJ66" s="138">
        <v>69.836619999999996</v>
      </c>
      <c r="AK66" s="138">
        <v>69.836619999999996</v>
      </c>
    </row>
    <row r="67" spans="1:248" s="149" customFormat="1" ht="9.9499999999999993" customHeight="1">
      <c r="A67" s="145">
        <v>4</v>
      </c>
      <c r="B67" s="204" t="s">
        <v>24</v>
      </c>
      <c r="C67" s="198">
        <v>297.03135888501743</v>
      </c>
      <c r="D67" s="198">
        <v>308.09049550117868</v>
      </c>
      <c r="E67" s="189">
        <v>365.17312994382337</v>
      </c>
      <c r="F67" s="189">
        <v>297.80487032964669</v>
      </c>
      <c r="G67" s="198">
        <v>339.54260568160714</v>
      </c>
      <c r="H67" s="189">
        <v>345.31406194829515</v>
      </c>
      <c r="I67" s="198">
        <v>358.73950300000001</v>
      </c>
      <c r="J67" s="189">
        <v>319.1308068430148</v>
      </c>
      <c r="K67" s="198">
        <v>346.2537733333333</v>
      </c>
      <c r="L67" s="189">
        <v>375.39031967495907</v>
      </c>
      <c r="M67" s="189">
        <v>308.15711648269581</v>
      </c>
      <c r="N67" s="189">
        <v>337.57702</v>
      </c>
      <c r="O67" s="189">
        <v>366.0957532175384</v>
      </c>
      <c r="P67" s="189">
        <v>277.256449840389</v>
      </c>
      <c r="Q67" s="189">
        <v>272.4477894006414</v>
      </c>
      <c r="R67" s="189">
        <v>290.47875347106975</v>
      </c>
      <c r="S67" s="189">
        <v>282.19783185362007</v>
      </c>
      <c r="T67" s="189">
        <v>299.04139473576328</v>
      </c>
      <c r="U67" s="189">
        <v>186.60215499999998</v>
      </c>
      <c r="V67" s="198">
        <v>329.58532083015996</v>
      </c>
      <c r="W67" s="189">
        <v>306</v>
      </c>
      <c r="X67" s="198">
        <v>370.33888899999999</v>
      </c>
      <c r="Y67" s="189">
        <v>310.96180876139653</v>
      </c>
      <c r="Z67" s="198">
        <v>289.14046121593293</v>
      </c>
      <c r="AA67" s="189">
        <v>336.93593314763228</v>
      </c>
      <c r="AB67" s="198">
        <v>347.16925599999996</v>
      </c>
      <c r="AC67" s="189">
        <v>338</v>
      </c>
      <c r="AD67" s="189">
        <v>300.95495099999999</v>
      </c>
      <c r="AE67" s="189">
        <v>326.51573343354073</v>
      </c>
      <c r="AF67" s="189">
        <v>305.76766599999996</v>
      </c>
      <c r="AG67" s="140"/>
      <c r="AH67" s="147">
        <v>248</v>
      </c>
      <c r="AI67" s="147">
        <v>282.6432935175763</v>
      </c>
      <c r="AJ67" s="147">
        <v>334.19431999999995</v>
      </c>
      <c r="AK67" s="185">
        <v>334.19431999999995</v>
      </c>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86"/>
      <c r="CD67" s="86"/>
      <c r="CE67" s="86"/>
      <c r="CF67" s="86"/>
      <c r="CG67" s="86"/>
      <c r="CH67" s="86"/>
      <c r="CI67" s="86"/>
      <c r="CJ67" s="86"/>
      <c r="CK67" s="86"/>
      <c r="CL67" s="86"/>
      <c r="CM67" s="86"/>
      <c r="CN67" s="86"/>
      <c r="CO67" s="86"/>
      <c r="CP67" s="86"/>
      <c r="CQ67" s="86"/>
      <c r="CR67" s="86"/>
      <c r="CS67" s="86"/>
      <c r="CT67" s="86"/>
      <c r="CU67" s="86"/>
      <c r="CV67" s="86"/>
      <c r="CW67" s="86"/>
      <c r="CX67" s="86"/>
      <c r="CY67" s="86"/>
      <c r="CZ67" s="86"/>
      <c r="DA67" s="86"/>
      <c r="DB67" s="86"/>
      <c r="DC67" s="86"/>
      <c r="DD67" s="86"/>
      <c r="DE67" s="86"/>
      <c r="DF67" s="86"/>
      <c r="DG67" s="86"/>
      <c r="DH67" s="86"/>
      <c r="DI67" s="86"/>
      <c r="DJ67" s="86"/>
      <c r="DK67" s="86"/>
      <c r="DL67" s="86"/>
      <c r="DM67" s="86"/>
      <c r="DN67" s="86"/>
      <c r="DO67" s="86"/>
      <c r="DP67" s="86"/>
      <c r="DQ67" s="86"/>
      <c r="DR67" s="86"/>
      <c r="DS67" s="86"/>
      <c r="DT67" s="86"/>
      <c r="DU67" s="86"/>
      <c r="DV67" s="86"/>
      <c r="DW67" s="86"/>
      <c r="DX67" s="86"/>
      <c r="DY67" s="86"/>
      <c r="DZ67" s="86"/>
      <c r="EA67" s="86"/>
      <c r="EB67" s="86"/>
      <c r="EC67" s="86"/>
      <c r="ED67" s="86"/>
      <c r="EE67" s="86"/>
      <c r="EF67" s="86"/>
      <c r="EG67" s="86"/>
      <c r="EH67" s="86"/>
      <c r="EI67" s="86"/>
      <c r="EJ67" s="86"/>
      <c r="EK67" s="86"/>
      <c r="EL67" s="86"/>
      <c r="EM67" s="86"/>
      <c r="EN67" s="86"/>
      <c r="EO67" s="86"/>
      <c r="EP67" s="86"/>
      <c r="EQ67" s="86"/>
      <c r="ER67" s="86"/>
      <c r="ES67" s="86"/>
      <c r="ET67" s="86"/>
      <c r="EU67" s="86"/>
      <c r="EV67" s="86"/>
      <c r="EW67" s="86"/>
      <c r="EX67" s="86"/>
      <c r="EY67" s="86"/>
      <c r="EZ67" s="86"/>
      <c r="FA67" s="86"/>
      <c r="FB67" s="86"/>
      <c r="FC67" s="86"/>
      <c r="FD67" s="86"/>
      <c r="FE67" s="86"/>
      <c r="FF67" s="86"/>
      <c r="FG67" s="86"/>
      <c r="FH67" s="86"/>
      <c r="FI67" s="86"/>
      <c r="FJ67" s="86"/>
      <c r="FK67" s="86"/>
      <c r="FL67" s="86"/>
      <c r="FM67" s="86"/>
      <c r="FN67" s="86"/>
      <c r="FO67" s="86"/>
      <c r="FP67" s="86"/>
      <c r="FQ67" s="86"/>
      <c r="FR67" s="86"/>
      <c r="FS67" s="86"/>
      <c r="FT67" s="86"/>
      <c r="FU67" s="86"/>
      <c r="FV67" s="86"/>
      <c r="FW67" s="86"/>
      <c r="FX67" s="86"/>
      <c r="FY67" s="86"/>
      <c r="FZ67" s="86"/>
      <c r="GA67" s="86"/>
      <c r="GB67" s="86"/>
      <c r="GC67" s="86"/>
      <c r="GD67" s="86"/>
      <c r="GE67" s="86"/>
      <c r="GF67" s="86"/>
      <c r="GG67" s="86"/>
      <c r="GH67" s="86"/>
      <c r="GI67" s="86"/>
      <c r="GJ67" s="86"/>
      <c r="GK67" s="86"/>
      <c r="GL67" s="86"/>
      <c r="GM67" s="86"/>
      <c r="GN67" s="86"/>
      <c r="GO67" s="86"/>
      <c r="GP67" s="86"/>
      <c r="GQ67" s="86"/>
      <c r="GR67" s="86"/>
      <c r="GS67" s="86"/>
      <c r="GT67" s="86"/>
      <c r="GU67" s="86"/>
      <c r="GV67" s="86"/>
      <c r="GW67" s="86"/>
      <c r="GX67" s="86"/>
      <c r="GY67" s="86"/>
      <c r="GZ67" s="86"/>
      <c r="HA67" s="86"/>
      <c r="HB67" s="86"/>
      <c r="HC67" s="86"/>
      <c r="HD67" s="86"/>
      <c r="HE67" s="86"/>
      <c r="HF67" s="86"/>
      <c r="HG67" s="86"/>
      <c r="HH67" s="86"/>
      <c r="HI67" s="86"/>
      <c r="HJ67" s="86"/>
      <c r="HK67" s="86"/>
      <c r="HL67" s="86"/>
      <c r="HM67" s="86"/>
      <c r="HN67" s="86"/>
      <c r="HO67" s="86"/>
      <c r="HP67" s="86"/>
      <c r="HQ67" s="86"/>
      <c r="HR67" s="86"/>
      <c r="HS67" s="86"/>
      <c r="HT67" s="86"/>
      <c r="HU67" s="86"/>
      <c r="HV67" s="86"/>
      <c r="HW67" s="86"/>
      <c r="HX67" s="86"/>
      <c r="HY67" s="86"/>
      <c r="HZ67" s="86"/>
      <c r="IA67" s="86"/>
      <c r="IB67" s="86"/>
      <c r="IC67" s="86"/>
      <c r="ID67" s="86"/>
      <c r="IE67" s="86"/>
      <c r="IF67" s="86"/>
      <c r="IG67" s="86"/>
      <c r="IH67" s="86"/>
      <c r="II67" s="86"/>
      <c r="IJ67" s="86"/>
      <c r="IK67" s="86"/>
      <c r="IL67" s="86"/>
      <c r="IM67" s="86"/>
      <c r="IN67" s="86"/>
    </row>
    <row r="68" spans="1:248" ht="9.9499999999999993" customHeight="1">
      <c r="A68" s="150">
        <v>4.0999999999999996</v>
      </c>
      <c r="B68" s="205" t="s">
        <v>25</v>
      </c>
      <c r="C68" s="40">
        <v>23.080139372822302</v>
      </c>
      <c r="D68" s="40">
        <v>34.162019999999998</v>
      </c>
      <c r="E68" s="67">
        <v>26.627219337662915</v>
      </c>
      <c r="F68" s="67">
        <v>25.430748211874729</v>
      </c>
      <c r="G68" s="40">
        <v>24.658908166266038</v>
      </c>
      <c r="H68" s="67">
        <v>32.29565398996732</v>
      </c>
      <c r="I68" s="40">
        <v>39.133609999999997</v>
      </c>
      <c r="J68" s="67">
        <v>17.059130900343018</v>
      </c>
      <c r="K68" s="40">
        <v>28.314966666666667</v>
      </c>
      <c r="L68" s="67">
        <v>33.658448275336987</v>
      </c>
      <c r="M68" s="67">
        <v>17.067250161795329</v>
      </c>
      <c r="N68" s="67">
        <v>22.75798</v>
      </c>
      <c r="O68" s="67">
        <v>43.762454194295678</v>
      </c>
      <c r="P68" s="67">
        <v>13.104060913705585</v>
      </c>
      <c r="Q68" s="67">
        <v>31.384966019577355</v>
      </c>
      <c r="R68" s="67">
        <v>30.415045634968422</v>
      </c>
      <c r="S68" s="67">
        <v>19.640216447021402</v>
      </c>
      <c r="T68" s="67">
        <v>38.815924069862341</v>
      </c>
      <c r="U68" s="67">
        <v>18.046309999999998</v>
      </c>
      <c r="V68" s="40">
        <v>24.564036557501908</v>
      </c>
      <c r="W68" s="67">
        <v>19</v>
      </c>
      <c r="X68" s="40">
        <v>20.982700000000001</v>
      </c>
      <c r="Y68" s="67">
        <v>25.51047218282892</v>
      </c>
      <c r="Z68" s="40">
        <v>20.125786163522012</v>
      </c>
      <c r="AA68" s="67">
        <v>35.097493036211702</v>
      </c>
      <c r="AB68" s="40">
        <v>46.700629999999997</v>
      </c>
      <c r="AC68" s="67">
        <v>36</v>
      </c>
      <c r="AD68" s="67">
        <v>13.43975</v>
      </c>
      <c r="AE68" s="67">
        <v>23.243505211516599</v>
      </c>
      <c r="AF68" s="67">
        <v>25.487770000000001</v>
      </c>
      <c r="AG68" s="140"/>
      <c r="AH68" s="138">
        <v>24</v>
      </c>
      <c r="AI68" s="138">
        <v>9.066890462892502</v>
      </c>
      <c r="AJ68" s="138">
        <v>9.1469989999999992</v>
      </c>
      <c r="AK68" s="138">
        <v>9.1469989999999992</v>
      </c>
    </row>
    <row r="69" spans="1:248" ht="9.9499999999999993" customHeight="1">
      <c r="A69" s="150">
        <v>4.2</v>
      </c>
      <c r="B69" s="203" t="s">
        <v>26</v>
      </c>
      <c r="C69" s="40">
        <v>5.0174216027874561</v>
      </c>
      <c r="D69" s="40">
        <v>9.7094868853741136</v>
      </c>
      <c r="E69" s="67">
        <v>17.573380692668891</v>
      </c>
      <c r="F69" s="67">
        <v>5.5063723146077503</v>
      </c>
      <c r="G69" s="40">
        <v>6.9890701139994915</v>
      </c>
      <c r="H69" s="67">
        <v>7.4051936379027934</v>
      </c>
      <c r="I69" s="40">
        <v>7.0421930000000001</v>
      </c>
      <c r="J69" s="67">
        <v>15.929550840726295</v>
      </c>
      <c r="K69" s="40">
        <v>13.070506666666667</v>
      </c>
      <c r="L69" s="67">
        <v>4.6115131705228114</v>
      </c>
      <c r="M69" s="67">
        <v>5.304086273133171</v>
      </c>
      <c r="N69" s="67">
        <v>49.698480000000004</v>
      </c>
      <c r="O69" s="67">
        <v>6.508992889505941</v>
      </c>
      <c r="P69" s="67" t="s">
        <v>248</v>
      </c>
      <c r="Q69" s="67">
        <v>3.8984291302286982</v>
      </c>
      <c r="R69" s="67">
        <v>5.5905737677995457</v>
      </c>
      <c r="S69" s="67">
        <v>1.3659767736647335</v>
      </c>
      <c r="T69" s="67">
        <v>12.364523319855792</v>
      </c>
      <c r="U69" s="67">
        <v>8.2089449999999999</v>
      </c>
      <c r="V69" s="40">
        <v>6.2576561309977166</v>
      </c>
      <c r="W69" s="67">
        <v>6</v>
      </c>
      <c r="X69" s="40">
        <v>7.6020289999999999</v>
      </c>
      <c r="Y69" s="67">
        <v>2.8264179297064875</v>
      </c>
      <c r="Z69" s="40">
        <v>12.578616352201259</v>
      </c>
      <c r="AA69" s="67">
        <v>5.0139275766016711</v>
      </c>
      <c r="AB69" s="40">
        <v>9.9956160000000001</v>
      </c>
      <c r="AC69" s="67">
        <v>10</v>
      </c>
      <c r="AD69" s="67">
        <v>2.9531510000000001</v>
      </c>
      <c r="AE69" s="67">
        <v>6.3596589195560727</v>
      </c>
      <c r="AF69" s="67">
        <v>6.3797959999999998</v>
      </c>
      <c r="AG69" s="140"/>
      <c r="AH69" s="138">
        <v>3</v>
      </c>
      <c r="AI69" s="138">
        <v>5.6889994377987492</v>
      </c>
      <c r="AJ69" s="138">
        <v>5.7201009999999997</v>
      </c>
      <c r="AK69" s="138">
        <v>5.7201009999999997</v>
      </c>
    </row>
    <row r="70" spans="1:248" ht="9.9499999999999993" customHeight="1">
      <c r="A70" s="150">
        <v>4.3</v>
      </c>
      <c r="B70" s="202" t="s">
        <v>27</v>
      </c>
      <c r="C70" s="40">
        <v>34.034843205574902</v>
      </c>
      <c r="D70" s="40">
        <v>80.886120000000005</v>
      </c>
      <c r="E70" s="67">
        <v>46.850018446240405</v>
      </c>
      <c r="F70" s="67">
        <v>52.959161971816194</v>
      </c>
      <c r="G70" s="40">
        <v>74.247125468092804</v>
      </c>
      <c r="H70" s="67">
        <v>35.655395959583871</v>
      </c>
      <c r="I70" s="40">
        <v>49.670999999999999</v>
      </c>
      <c r="J70" s="67">
        <v>52.128912751248166</v>
      </c>
      <c r="K70" s="40">
        <v>58.12133333333334</v>
      </c>
      <c r="L70" s="67">
        <v>58.145423115022105</v>
      </c>
      <c r="M70" s="67">
        <v>36.75874015110962</v>
      </c>
      <c r="N70" s="67">
        <v>43.105759999999997</v>
      </c>
      <c r="O70" s="67">
        <v>72.980754111760973</v>
      </c>
      <c r="P70" s="67">
        <v>15.805588989481397</v>
      </c>
      <c r="Q70" s="67">
        <v>38.116870855340551</v>
      </c>
      <c r="R70" s="67">
        <v>35.193452413537244</v>
      </c>
      <c r="S70" s="67">
        <v>31.812089624980949</v>
      </c>
      <c r="T70" s="67">
        <v>30.872877385812387</v>
      </c>
      <c r="U70" s="67">
        <v>40.176969999999997</v>
      </c>
      <c r="V70" s="40">
        <v>67.922710396039605</v>
      </c>
      <c r="W70" s="67">
        <v>59</v>
      </c>
      <c r="X70" s="40">
        <v>46.762059999999998</v>
      </c>
      <c r="Y70" s="67">
        <v>44.840234316050811</v>
      </c>
      <c r="Z70" s="40">
        <v>52.830188679245282</v>
      </c>
      <c r="AA70" s="67">
        <v>63.175487465181057</v>
      </c>
      <c r="AB70" s="40">
        <v>52.94614</v>
      </c>
      <c r="AC70" s="67">
        <v>49</v>
      </c>
      <c r="AD70" s="67">
        <v>63.979480000000002</v>
      </c>
      <c r="AE70" s="67">
        <v>42.141083649873913</v>
      </c>
      <c r="AF70" s="67">
        <v>40.887839999999997</v>
      </c>
      <c r="AG70" s="140"/>
      <c r="AH70" s="138">
        <v>22</v>
      </c>
      <c r="AI70" s="138">
        <v>81.467417593771117</v>
      </c>
      <c r="AJ70" s="138">
        <v>91.634349999999998</v>
      </c>
      <c r="AK70" s="138">
        <v>91.634349999999998</v>
      </c>
    </row>
    <row r="71" spans="1:248" ht="9.9499999999999993" customHeight="1">
      <c r="A71" s="150">
        <v>4.4000000000000004</v>
      </c>
      <c r="B71" s="202" t="s">
        <v>28</v>
      </c>
      <c r="C71" s="40">
        <v>158.55052264808361</v>
      </c>
      <c r="D71" s="40">
        <v>117.24949861580454</v>
      </c>
      <c r="E71" s="67">
        <v>139.92404211313567</v>
      </c>
      <c r="F71" s="67">
        <v>118.36989768909619</v>
      </c>
      <c r="G71" s="40">
        <v>132.49938940772188</v>
      </c>
      <c r="H71" s="67">
        <v>140.40053817993416</v>
      </c>
      <c r="I71" s="40">
        <v>135.69409999999999</v>
      </c>
      <c r="J71" s="67">
        <v>124.89560659171256</v>
      </c>
      <c r="K71" s="40">
        <v>125.7589</v>
      </c>
      <c r="L71" s="67">
        <v>149.54904756960974</v>
      </c>
      <c r="M71" s="67">
        <v>144.29900268092968</v>
      </c>
      <c r="N71" s="67">
        <v>94.467500000000001</v>
      </c>
      <c r="O71" s="67">
        <v>117.26816996327264</v>
      </c>
      <c r="P71" s="67">
        <v>96.707938667643518</v>
      </c>
      <c r="Q71" s="67">
        <v>101.25372222134574</v>
      </c>
      <c r="R71" s="67">
        <v>138.92334820558554</v>
      </c>
      <c r="S71" s="67">
        <v>159.728964048384</v>
      </c>
      <c r="T71" s="67">
        <v>123.94955410240107</v>
      </c>
      <c r="U71" s="67">
        <v>74.070570000000004</v>
      </c>
      <c r="V71" s="40">
        <v>124.91878332063975</v>
      </c>
      <c r="W71" s="67">
        <v>132</v>
      </c>
      <c r="X71" s="40">
        <v>140.13659999999999</v>
      </c>
      <c r="Y71" s="67">
        <v>134.76812820624201</v>
      </c>
      <c r="Z71" s="40">
        <v>126.2893081761006</v>
      </c>
      <c r="AA71" s="67">
        <v>133.37047353760445</v>
      </c>
      <c r="AB71" s="40">
        <v>140.40969999999999</v>
      </c>
      <c r="AC71" s="67">
        <v>123</v>
      </c>
      <c r="AD71" s="67">
        <v>126.1476</v>
      </c>
      <c r="AE71" s="67">
        <v>144.86852967067824</v>
      </c>
      <c r="AF71" s="67">
        <v>151.8931</v>
      </c>
      <c r="AG71" s="140"/>
      <c r="AH71" s="138">
        <v>132</v>
      </c>
      <c r="AI71" s="138">
        <v>67.530462006290406</v>
      </c>
      <c r="AJ71" s="138">
        <v>139.1422</v>
      </c>
      <c r="AK71" s="138">
        <v>139.1422</v>
      </c>
    </row>
    <row r="72" spans="1:248" ht="9.9499999999999993" customHeight="1">
      <c r="A72" s="150">
        <v>4.5</v>
      </c>
      <c r="B72" s="202" t="s">
        <v>29</v>
      </c>
      <c r="C72" s="40">
        <v>76.348432055749001</v>
      </c>
      <c r="D72" s="40">
        <v>66.083370000000002</v>
      </c>
      <c r="E72" s="67">
        <v>134.1984693541155</v>
      </c>
      <c r="F72" s="67">
        <v>95.53869014225188</v>
      </c>
      <c r="G72" s="40">
        <v>101.14811252552695</v>
      </c>
      <c r="H72" s="67">
        <v>129.55728018090699</v>
      </c>
      <c r="I72" s="40">
        <v>127.1986</v>
      </c>
      <c r="J72" s="67">
        <v>109.11760575898475</v>
      </c>
      <c r="K72" s="40">
        <v>120.98806666666665</v>
      </c>
      <c r="L72" s="67">
        <v>129.4258875444674</v>
      </c>
      <c r="M72" s="67">
        <v>104.72803721572807</v>
      </c>
      <c r="N72" s="67">
        <v>127.54730000000001</v>
      </c>
      <c r="O72" s="67">
        <v>125.5753820587032</v>
      </c>
      <c r="P72" s="67">
        <v>151.63886126955884</v>
      </c>
      <c r="Q72" s="67">
        <v>97.793801174149039</v>
      </c>
      <c r="R72" s="67">
        <v>80.356333449179033</v>
      </c>
      <c r="S72" s="67">
        <v>69.65058495956896</v>
      </c>
      <c r="T72" s="67">
        <v>93.038515857831726</v>
      </c>
      <c r="U72" s="67">
        <v>46.099359999999997</v>
      </c>
      <c r="V72" s="40">
        <v>105.92213442498095</v>
      </c>
      <c r="W72" s="67">
        <v>90</v>
      </c>
      <c r="X72" s="40">
        <v>154.85550000000001</v>
      </c>
      <c r="Y72" s="67">
        <v>103.01655612656829</v>
      </c>
      <c r="Z72" s="40">
        <v>77.316561844863756</v>
      </c>
      <c r="AA72" s="67">
        <v>100.27855153203343</v>
      </c>
      <c r="AB72" s="40">
        <v>97.117170000000002</v>
      </c>
      <c r="AC72" s="67">
        <v>121</v>
      </c>
      <c r="AD72" s="67">
        <v>94.434970000000007</v>
      </c>
      <c r="AE72" s="67">
        <v>109.90295598191585</v>
      </c>
      <c r="AF72" s="67">
        <v>81.119159999999994</v>
      </c>
      <c r="AG72" s="140"/>
      <c r="AH72" s="138">
        <v>67</v>
      </c>
      <c r="AI72" s="138">
        <v>118.88952401682354</v>
      </c>
      <c r="AJ72" s="138">
        <v>88.550669999999997</v>
      </c>
      <c r="AK72" s="138">
        <v>88.550669999999997</v>
      </c>
    </row>
    <row r="73" spans="1:248" s="149" customFormat="1" ht="9.9499999999999993" customHeight="1">
      <c r="A73" s="145">
        <v>5</v>
      </c>
      <c r="B73" s="204" t="s">
        <v>30</v>
      </c>
      <c r="C73" s="198">
        <v>18.062717770034844</v>
      </c>
      <c r="D73" s="198">
        <v>8.0014729403491138</v>
      </c>
      <c r="E73" s="189">
        <v>8.4929718125428177</v>
      </c>
      <c r="F73" s="189">
        <v>31.768059542609123</v>
      </c>
      <c r="G73" s="198">
        <v>11.214057622171694</v>
      </c>
      <c r="H73" s="189">
        <v>6.4666836742621836</v>
      </c>
      <c r="I73" s="198">
        <v>45.119599999999998</v>
      </c>
      <c r="J73" s="189">
        <v>7.8422754138978696</v>
      </c>
      <c r="K73" s="198">
        <v>16.204740000000001</v>
      </c>
      <c r="L73" s="189">
        <v>5.7688797500492486</v>
      </c>
      <c r="M73" s="189">
        <v>10.551610889662406</v>
      </c>
      <c r="N73" s="189">
        <v>39.904440000000001</v>
      </c>
      <c r="O73" s="189">
        <v>12.062818088763349</v>
      </c>
      <c r="P73" s="189">
        <v>42.076089800617503</v>
      </c>
      <c r="Q73" s="189">
        <v>23.739211287749889</v>
      </c>
      <c r="R73" s="189">
        <v>3.2603797382429387</v>
      </c>
      <c r="S73" s="189">
        <v>7.6051409303103323</v>
      </c>
      <c r="T73" s="189">
        <v>13.025015701008268</v>
      </c>
      <c r="U73" s="189">
        <v>19.426639999999999</v>
      </c>
      <c r="V73" s="198">
        <v>13.825582539984765</v>
      </c>
      <c r="W73" s="189">
        <v>16</v>
      </c>
      <c r="X73" s="198">
        <v>9.2430579999999996</v>
      </c>
      <c r="Y73" s="189">
        <v>10.205231988796562</v>
      </c>
      <c r="Z73" s="198">
        <v>5.0314465408805029</v>
      </c>
      <c r="AA73" s="189">
        <v>5.0139275766016711</v>
      </c>
      <c r="AB73" s="198">
        <v>13.661777000000001</v>
      </c>
      <c r="AC73" s="189">
        <v>7</v>
      </c>
      <c r="AD73" s="189">
        <v>34.116820000000004</v>
      </c>
      <c r="AE73" s="189">
        <v>29.869604487012744</v>
      </c>
      <c r="AF73" s="189">
        <v>19.768225000000001</v>
      </c>
      <c r="AG73" s="140"/>
      <c r="AH73" s="147">
        <v>15</v>
      </c>
      <c r="AI73" s="147">
        <v>12.246449456421935</v>
      </c>
      <c r="AJ73" s="147">
        <v>13.1774</v>
      </c>
      <c r="AK73" s="185">
        <v>13.1774</v>
      </c>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86"/>
      <c r="CD73" s="86"/>
      <c r="CE73" s="86"/>
      <c r="CF73" s="86"/>
      <c r="CG73" s="86"/>
      <c r="CH73" s="86"/>
      <c r="CI73" s="86"/>
      <c r="CJ73" s="86"/>
      <c r="CK73" s="86"/>
      <c r="CL73" s="86"/>
      <c r="CM73" s="86"/>
      <c r="CN73" s="86"/>
      <c r="CO73" s="86"/>
      <c r="CP73" s="86"/>
      <c r="CQ73" s="86"/>
      <c r="CR73" s="86"/>
      <c r="CS73" s="86"/>
      <c r="CT73" s="86"/>
      <c r="CU73" s="86"/>
      <c r="CV73" s="86"/>
      <c r="CW73" s="86"/>
      <c r="CX73" s="86"/>
      <c r="CY73" s="86"/>
      <c r="CZ73" s="86"/>
      <c r="DA73" s="86"/>
      <c r="DB73" s="86"/>
      <c r="DC73" s="86"/>
      <c r="DD73" s="86"/>
      <c r="DE73" s="86"/>
      <c r="DF73" s="86"/>
      <c r="DG73" s="86"/>
      <c r="DH73" s="86"/>
      <c r="DI73" s="86"/>
      <c r="DJ73" s="86"/>
      <c r="DK73" s="86"/>
      <c r="DL73" s="86"/>
      <c r="DM73" s="86"/>
      <c r="DN73" s="86"/>
      <c r="DO73" s="86"/>
      <c r="DP73" s="86"/>
      <c r="DQ73" s="86"/>
      <c r="DR73" s="86"/>
      <c r="DS73" s="86"/>
      <c r="DT73" s="86"/>
      <c r="DU73" s="86"/>
      <c r="DV73" s="86"/>
      <c r="DW73" s="86"/>
      <c r="DX73" s="86"/>
      <c r="DY73" s="86"/>
      <c r="DZ73" s="86"/>
      <c r="EA73" s="86"/>
      <c r="EB73" s="86"/>
      <c r="EC73" s="86"/>
      <c r="ED73" s="86"/>
      <c r="EE73" s="86"/>
      <c r="EF73" s="86"/>
      <c r="EG73" s="86"/>
      <c r="EH73" s="86"/>
      <c r="EI73" s="86"/>
      <c r="EJ73" s="86"/>
      <c r="EK73" s="86"/>
      <c r="EL73" s="86"/>
      <c r="EM73" s="86"/>
      <c r="EN73" s="86"/>
      <c r="EO73" s="86"/>
      <c r="EP73" s="86"/>
      <c r="EQ73" s="86"/>
      <c r="ER73" s="86"/>
      <c r="ES73" s="86"/>
      <c r="ET73" s="86"/>
      <c r="EU73" s="86"/>
      <c r="EV73" s="86"/>
      <c r="EW73" s="86"/>
      <c r="EX73" s="86"/>
      <c r="EY73" s="86"/>
      <c r="EZ73" s="86"/>
      <c r="FA73" s="86"/>
      <c r="FB73" s="86"/>
      <c r="FC73" s="86"/>
      <c r="FD73" s="86"/>
      <c r="FE73" s="86"/>
      <c r="FF73" s="86"/>
      <c r="FG73" s="86"/>
      <c r="FH73" s="86"/>
      <c r="FI73" s="86"/>
      <c r="FJ73" s="86"/>
      <c r="FK73" s="86"/>
      <c r="FL73" s="86"/>
      <c r="FM73" s="86"/>
      <c r="FN73" s="86"/>
      <c r="FO73" s="86"/>
      <c r="FP73" s="86"/>
      <c r="FQ73" s="86"/>
      <c r="FR73" s="86"/>
      <c r="FS73" s="86"/>
      <c r="FT73" s="86"/>
      <c r="FU73" s="86"/>
      <c r="FV73" s="86"/>
      <c r="FW73" s="86"/>
      <c r="FX73" s="86"/>
      <c r="FY73" s="86"/>
      <c r="FZ73" s="86"/>
      <c r="GA73" s="86"/>
      <c r="GB73" s="86"/>
      <c r="GC73" s="86"/>
      <c r="GD73" s="86"/>
      <c r="GE73" s="86"/>
      <c r="GF73" s="86"/>
      <c r="GG73" s="86"/>
      <c r="GH73" s="86"/>
      <c r="GI73" s="86"/>
      <c r="GJ73" s="86"/>
      <c r="GK73" s="86"/>
      <c r="GL73" s="86"/>
      <c r="GM73" s="86"/>
      <c r="GN73" s="86"/>
      <c r="GO73" s="86"/>
      <c r="GP73" s="86"/>
      <c r="GQ73" s="86"/>
      <c r="GR73" s="86"/>
      <c r="GS73" s="86"/>
      <c r="GT73" s="86"/>
      <c r="GU73" s="86"/>
      <c r="GV73" s="86"/>
      <c r="GW73" s="86"/>
      <c r="GX73" s="86"/>
      <c r="GY73" s="86"/>
      <c r="GZ73" s="86"/>
      <c r="HA73" s="86"/>
      <c r="HB73" s="86"/>
      <c r="HC73" s="86"/>
      <c r="HD73" s="86"/>
      <c r="HE73" s="86"/>
      <c r="HF73" s="86"/>
      <c r="HG73" s="86"/>
      <c r="HH73" s="86"/>
      <c r="HI73" s="86"/>
      <c r="HJ73" s="86"/>
      <c r="HK73" s="86"/>
      <c r="HL73" s="86"/>
      <c r="HM73" s="86"/>
      <c r="HN73" s="86"/>
      <c r="HO73" s="86"/>
      <c r="HP73" s="86"/>
      <c r="HQ73" s="86"/>
      <c r="HR73" s="86"/>
      <c r="HS73" s="86"/>
      <c r="HT73" s="86"/>
      <c r="HU73" s="86"/>
      <c r="HV73" s="86"/>
      <c r="HW73" s="86"/>
      <c r="HX73" s="86"/>
      <c r="HY73" s="86"/>
      <c r="HZ73" s="86"/>
      <c r="IA73" s="86"/>
      <c r="IB73" s="86"/>
      <c r="IC73" s="86"/>
      <c r="ID73" s="86"/>
      <c r="IE73" s="86"/>
      <c r="IF73" s="86"/>
      <c r="IG73" s="86"/>
      <c r="IH73" s="86"/>
      <c r="II73" s="86"/>
      <c r="IJ73" s="86"/>
      <c r="IK73" s="86"/>
      <c r="IL73" s="86"/>
      <c r="IM73" s="86"/>
      <c r="IN73" s="86"/>
    </row>
    <row r="74" spans="1:248" ht="9.9499999999999993" customHeight="1">
      <c r="A74" s="150">
        <v>5.0999999999999996</v>
      </c>
      <c r="B74" s="203" t="s">
        <v>31</v>
      </c>
      <c r="C74" s="40">
        <v>10.034843205574912</v>
      </c>
      <c r="D74" s="40">
        <v>2.9486919999999999</v>
      </c>
      <c r="E74" s="67">
        <v>2.4004886792966964</v>
      </c>
      <c r="F74" s="67">
        <v>2.800407144514359</v>
      </c>
      <c r="G74" s="40">
        <v>6.7149145248382816</v>
      </c>
      <c r="H74" s="67">
        <v>0.36947519109903609</v>
      </c>
      <c r="I74" s="40">
        <v>1.0334000000000001</v>
      </c>
      <c r="J74" s="67">
        <v>2.2976181212631785</v>
      </c>
      <c r="K74" s="40">
        <v>2.4838250000000004</v>
      </c>
      <c r="L74" s="67">
        <v>1.8512992539615416</v>
      </c>
      <c r="M74" s="67">
        <v>1.1556677677315728</v>
      </c>
      <c r="N74" s="67">
        <v>5.0057299999999998</v>
      </c>
      <c r="O74" s="67">
        <v>5.6553141818447763</v>
      </c>
      <c r="P74" s="67" t="s">
        <v>248</v>
      </c>
      <c r="Q74" s="67">
        <v>6.8120717369738095</v>
      </c>
      <c r="R74" s="67">
        <v>1.2567642262638574</v>
      </c>
      <c r="S74" s="67">
        <v>1.9762336904437803</v>
      </c>
      <c r="T74" s="67">
        <v>3.0203997717385485</v>
      </c>
      <c r="U74" s="67">
        <v>18.235479999999999</v>
      </c>
      <c r="V74" s="40">
        <v>4.2964812452399093</v>
      </c>
      <c r="W74" s="67">
        <v>7</v>
      </c>
      <c r="X74" s="40">
        <v>2.393081</v>
      </c>
      <c r="Y74" s="67">
        <v>7.3097534968383471</v>
      </c>
      <c r="Z74" s="40">
        <v>4.0251572327044025</v>
      </c>
      <c r="AA74" s="67">
        <v>3.0083565459610031</v>
      </c>
      <c r="AB74" s="40">
        <v>4.0939110000000003</v>
      </c>
      <c r="AC74" s="44" t="s">
        <v>248</v>
      </c>
      <c r="AD74" s="67">
        <v>26.283190000000001</v>
      </c>
      <c r="AE74" s="67">
        <v>3.7396645884120585</v>
      </c>
      <c r="AF74" s="67">
        <v>6.5059849999999999</v>
      </c>
      <c r="AG74" s="140"/>
      <c r="AH74" s="138" t="s">
        <v>248</v>
      </c>
      <c r="AI74" s="138">
        <v>12.246449456421935</v>
      </c>
      <c r="AJ74" s="138">
        <v>13.1774</v>
      </c>
      <c r="AK74" s="138">
        <v>13.1774</v>
      </c>
    </row>
    <row r="75" spans="1:248" ht="9.9499999999999993" customHeight="1">
      <c r="A75" s="156">
        <v>5.2</v>
      </c>
      <c r="B75" s="206" t="s">
        <v>32</v>
      </c>
      <c r="C75" s="199">
        <v>8.0278745644599301</v>
      </c>
      <c r="D75" s="199">
        <v>5.0527809403491144</v>
      </c>
      <c r="E75" s="200">
        <v>6.0924831332461231</v>
      </c>
      <c r="F75" s="200">
        <v>28.967652398094767</v>
      </c>
      <c r="G75" s="199">
        <v>4.4991430973334117</v>
      </c>
      <c r="H75" s="200">
        <v>6.0972084831631479</v>
      </c>
      <c r="I75" s="199">
        <v>44.086199999999998</v>
      </c>
      <c r="J75" s="200">
        <v>5.5446572926346906</v>
      </c>
      <c r="K75" s="199">
        <v>13.720915</v>
      </c>
      <c r="L75" s="200">
        <v>3.9175804960877065</v>
      </c>
      <c r="M75" s="200">
        <v>9.3959431219308343</v>
      </c>
      <c r="N75" s="200">
        <v>34.898710000000001</v>
      </c>
      <c r="O75" s="200">
        <v>6.4075039069185724</v>
      </c>
      <c r="P75" s="200">
        <v>42.07608980061751</v>
      </c>
      <c r="Q75" s="200">
        <v>16.927139550776079</v>
      </c>
      <c r="R75" s="200">
        <v>2.0036155119790813</v>
      </c>
      <c r="S75" s="200">
        <v>5.6289072398665514</v>
      </c>
      <c r="T75" s="200">
        <v>10.00461592926972</v>
      </c>
      <c r="U75" s="200">
        <v>1.19116</v>
      </c>
      <c r="V75" s="199">
        <v>9.5291012947448568</v>
      </c>
      <c r="W75" s="200">
        <v>9</v>
      </c>
      <c r="X75" s="199">
        <v>6.849977</v>
      </c>
      <c r="Y75" s="200">
        <v>2.8954784919582153</v>
      </c>
      <c r="Z75" s="199">
        <v>1.0062893081761006</v>
      </c>
      <c r="AA75" s="200">
        <v>2.0055710306406684</v>
      </c>
      <c r="AB75" s="199">
        <v>9.5678660000000004</v>
      </c>
      <c r="AC75" s="200" t="s">
        <v>248</v>
      </c>
      <c r="AD75" s="200">
        <v>7.8336300000000003</v>
      </c>
      <c r="AE75" s="200">
        <v>26.129939898600682</v>
      </c>
      <c r="AF75" s="200">
        <v>13.26224</v>
      </c>
      <c r="AG75" s="140"/>
      <c r="AH75" s="144">
        <v>15</v>
      </c>
      <c r="AI75" s="144" t="s">
        <v>248</v>
      </c>
      <c r="AJ75" s="144" t="s">
        <v>248</v>
      </c>
      <c r="AK75" s="144">
        <v>0</v>
      </c>
    </row>
    <row r="76" spans="1:248" s="149" customFormat="1" ht="9.9499999999999993" customHeight="1">
      <c r="A76" s="145" t="s">
        <v>2</v>
      </c>
      <c r="B76" s="204" t="s">
        <v>33</v>
      </c>
      <c r="C76" s="147">
        <v>1440</v>
      </c>
      <c r="D76" s="147">
        <v>1439.7814578600774</v>
      </c>
      <c r="E76" s="147">
        <v>1440</v>
      </c>
      <c r="F76" s="147">
        <v>1440</v>
      </c>
      <c r="G76" s="147">
        <v>1440</v>
      </c>
      <c r="H76" s="147">
        <v>1439.6282299576803</v>
      </c>
      <c r="I76" s="147">
        <v>1440.0000023</v>
      </c>
      <c r="J76" s="148">
        <v>1440</v>
      </c>
      <c r="K76" s="147">
        <v>1439.9999230000001</v>
      </c>
      <c r="L76" s="147">
        <v>1440</v>
      </c>
      <c r="M76" s="147">
        <v>1440</v>
      </c>
      <c r="N76" s="147">
        <v>1440</v>
      </c>
      <c r="O76" s="147">
        <v>1440</v>
      </c>
      <c r="P76" s="147">
        <v>1440.1661220547167</v>
      </c>
      <c r="Q76" s="147">
        <v>1440</v>
      </c>
      <c r="R76" s="147">
        <v>1439.9999999999998</v>
      </c>
      <c r="S76" s="147">
        <v>1439.9999999999998</v>
      </c>
      <c r="T76" s="147">
        <v>1439.9999999999998</v>
      </c>
      <c r="U76" s="148">
        <v>1440</v>
      </c>
      <c r="V76" s="148">
        <v>1440</v>
      </c>
      <c r="W76" s="147">
        <v>1440</v>
      </c>
      <c r="X76" s="148">
        <v>1439.999939</v>
      </c>
      <c r="Y76" s="147">
        <v>1440</v>
      </c>
      <c r="Z76" s="147">
        <v>1440</v>
      </c>
      <c r="AA76" s="147">
        <v>1440</v>
      </c>
      <c r="AB76" s="147">
        <v>1439.8494631999999</v>
      </c>
      <c r="AC76" s="147">
        <v>1440</v>
      </c>
      <c r="AD76" s="147">
        <v>1440</v>
      </c>
      <c r="AE76" s="147">
        <v>1440</v>
      </c>
      <c r="AF76" s="147">
        <v>1440</v>
      </c>
      <c r="AG76" s="140"/>
      <c r="AH76" s="147">
        <v>1440</v>
      </c>
      <c r="AI76" s="147">
        <v>1440</v>
      </c>
      <c r="AJ76" s="147">
        <v>1439.8463010999999</v>
      </c>
      <c r="AK76" s="185">
        <v>1439.8463010999999</v>
      </c>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86"/>
      <c r="CD76" s="86"/>
      <c r="CE76" s="86"/>
      <c r="CF76" s="86"/>
      <c r="CG76" s="86"/>
      <c r="CH76" s="86"/>
      <c r="CI76" s="86"/>
      <c r="CJ76" s="86"/>
      <c r="CK76" s="86"/>
      <c r="CL76" s="86"/>
      <c r="CM76" s="86"/>
      <c r="CN76" s="86"/>
      <c r="CO76" s="86"/>
      <c r="CP76" s="86"/>
      <c r="CQ76" s="86"/>
      <c r="CR76" s="86"/>
      <c r="CS76" s="86"/>
      <c r="CT76" s="86"/>
      <c r="CU76" s="86"/>
      <c r="CV76" s="86"/>
      <c r="CW76" s="86"/>
      <c r="CX76" s="86"/>
      <c r="CY76" s="86"/>
      <c r="CZ76" s="86"/>
      <c r="DA76" s="86"/>
      <c r="DB76" s="86"/>
      <c r="DC76" s="86"/>
      <c r="DD76" s="86"/>
      <c r="DE76" s="86"/>
      <c r="DF76" s="86"/>
      <c r="DG76" s="86"/>
      <c r="DH76" s="86"/>
      <c r="DI76" s="86"/>
      <c r="DJ76" s="86"/>
      <c r="DK76" s="86"/>
      <c r="DL76" s="86"/>
      <c r="DM76" s="86"/>
      <c r="DN76" s="86"/>
      <c r="DO76" s="86"/>
      <c r="DP76" s="86"/>
      <c r="DQ76" s="86"/>
      <c r="DR76" s="86"/>
      <c r="DS76" s="86"/>
      <c r="DT76" s="86"/>
      <c r="DU76" s="86"/>
      <c r="DV76" s="86"/>
      <c r="DW76" s="86"/>
      <c r="DX76" s="86"/>
      <c r="DY76" s="86"/>
      <c r="DZ76" s="86"/>
      <c r="EA76" s="86"/>
      <c r="EB76" s="86"/>
      <c r="EC76" s="86"/>
      <c r="ED76" s="86"/>
      <c r="EE76" s="86"/>
      <c r="EF76" s="86"/>
      <c r="EG76" s="86"/>
      <c r="EH76" s="86"/>
      <c r="EI76" s="86"/>
      <c r="EJ76" s="86"/>
      <c r="EK76" s="86"/>
      <c r="EL76" s="86"/>
      <c r="EM76" s="86"/>
      <c r="EN76" s="86"/>
      <c r="EO76" s="86"/>
      <c r="EP76" s="86"/>
      <c r="EQ76" s="86"/>
      <c r="ER76" s="86"/>
      <c r="ES76" s="86"/>
      <c r="ET76" s="86"/>
      <c r="EU76" s="86"/>
      <c r="EV76" s="86"/>
      <c r="EW76" s="86"/>
      <c r="EX76" s="86"/>
      <c r="EY76" s="86"/>
      <c r="EZ76" s="86"/>
      <c r="FA76" s="86"/>
      <c r="FB76" s="86"/>
      <c r="FC76" s="86"/>
      <c r="FD76" s="86"/>
      <c r="FE76" s="86"/>
      <c r="FF76" s="86"/>
      <c r="FG76" s="86"/>
      <c r="FH76" s="86"/>
      <c r="FI76" s="86"/>
      <c r="FJ76" s="86"/>
      <c r="FK76" s="86"/>
      <c r="FL76" s="86"/>
      <c r="FM76" s="86"/>
      <c r="FN76" s="86"/>
      <c r="FO76" s="86"/>
      <c r="FP76" s="86"/>
      <c r="FQ76" s="86"/>
      <c r="FR76" s="86"/>
      <c r="FS76" s="86"/>
      <c r="FT76" s="86"/>
      <c r="FU76" s="86"/>
      <c r="FV76" s="86"/>
      <c r="FW76" s="86"/>
      <c r="FX76" s="86"/>
      <c r="FY76" s="86"/>
      <c r="FZ76" s="86"/>
      <c r="GA76" s="86"/>
      <c r="GB76" s="86"/>
      <c r="GC76" s="86"/>
      <c r="GD76" s="86"/>
      <c r="GE76" s="86"/>
      <c r="GF76" s="86"/>
      <c r="GG76" s="86"/>
      <c r="GH76" s="86"/>
      <c r="GI76" s="86"/>
      <c r="GJ76" s="86"/>
      <c r="GK76" s="86"/>
      <c r="GL76" s="86"/>
      <c r="GM76" s="86"/>
      <c r="GN76" s="86"/>
      <c r="GO76" s="86"/>
      <c r="GP76" s="86"/>
      <c r="GQ76" s="86"/>
      <c r="GR76" s="86"/>
      <c r="GS76" s="86"/>
      <c r="GT76" s="86"/>
      <c r="GU76" s="86"/>
      <c r="GV76" s="86"/>
      <c r="GW76" s="86"/>
      <c r="GX76" s="86"/>
      <c r="GY76" s="86"/>
      <c r="GZ76" s="86"/>
      <c r="HA76" s="86"/>
      <c r="HB76" s="86"/>
      <c r="HC76" s="86"/>
      <c r="HD76" s="86"/>
      <c r="HE76" s="86"/>
      <c r="HF76" s="86"/>
      <c r="HG76" s="86"/>
      <c r="HH76" s="86"/>
      <c r="HI76" s="86"/>
      <c r="HJ76" s="86"/>
      <c r="HK76" s="86"/>
      <c r="HL76" s="86"/>
      <c r="HM76" s="86"/>
      <c r="HN76" s="86"/>
      <c r="HO76" s="86"/>
      <c r="HP76" s="86"/>
      <c r="HQ76" s="86"/>
      <c r="HR76" s="86"/>
      <c r="HS76" s="86"/>
      <c r="HT76" s="86"/>
      <c r="HU76" s="86"/>
      <c r="HV76" s="86"/>
      <c r="HW76" s="86"/>
      <c r="HX76" s="86"/>
      <c r="HY76" s="86"/>
      <c r="HZ76" s="86"/>
      <c r="IA76" s="86"/>
      <c r="IB76" s="86"/>
      <c r="IC76" s="86"/>
      <c r="ID76" s="86"/>
      <c r="IE76" s="86"/>
      <c r="IF76" s="86"/>
      <c r="IG76" s="86"/>
      <c r="IH76" s="86"/>
      <c r="II76" s="86"/>
      <c r="IJ76" s="86"/>
      <c r="IK76" s="86"/>
      <c r="IL76" s="86"/>
      <c r="IM76" s="86"/>
      <c r="IN76" s="86"/>
    </row>
    <row r="77" spans="1:248">
      <c r="A77" s="160" t="s">
        <v>512</v>
      </c>
      <c r="C77" s="91" t="s">
        <v>503</v>
      </c>
      <c r="D77" s="92"/>
      <c r="E77" s="91"/>
      <c r="F77" s="92"/>
      <c r="G77" s="92"/>
      <c r="H77" s="162"/>
      <c r="I77" s="92"/>
      <c r="J77" s="92"/>
      <c r="K77" s="92"/>
      <c r="L77" s="91"/>
      <c r="M77" s="91"/>
      <c r="N77" s="92"/>
      <c r="O77" s="92"/>
      <c r="P77" s="92"/>
      <c r="Q77" s="92"/>
      <c r="R77" s="92"/>
      <c r="S77" s="92"/>
      <c r="T77" s="92"/>
      <c r="U77" s="92"/>
      <c r="V77" s="92"/>
      <c r="W77" s="92"/>
      <c r="X77" s="92"/>
      <c r="Y77" s="91"/>
      <c r="Z77" s="92"/>
      <c r="AA77" s="92"/>
      <c r="AB77" s="92"/>
      <c r="AC77" s="91"/>
      <c r="AD77" s="91"/>
      <c r="AE77" s="92"/>
      <c r="AF77" s="92"/>
      <c r="AG77" s="86"/>
      <c r="AH77" s="91" t="s">
        <v>504</v>
      </c>
      <c r="AI77" s="92"/>
      <c r="AJ77" s="92"/>
      <c r="AK77" s="93"/>
    </row>
    <row r="78" spans="1:248" ht="409.5">
      <c r="A78" s="164"/>
      <c r="C78" s="207" t="s">
        <v>237</v>
      </c>
      <c r="D78" s="208"/>
      <c r="E78" s="207" t="s">
        <v>486</v>
      </c>
      <c r="F78" s="209"/>
      <c r="G78" s="208"/>
      <c r="H78" s="207" t="s">
        <v>486</v>
      </c>
      <c r="I78" s="208"/>
      <c r="J78" s="209"/>
      <c r="K78" s="208"/>
      <c r="L78" s="207" t="s">
        <v>486</v>
      </c>
      <c r="M78" s="207" t="s">
        <v>486</v>
      </c>
      <c r="N78" s="209"/>
      <c r="O78" s="209"/>
      <c r="P78" s="210" t="s">
        <v>560</v>
      </c>
      <c r="Q78" s="209"/>
      <c r="R78" s="209"/>
      <c r="S78" s="207" t="s">
        <v>488</v>
      </c>
      <c r="T78" s="207" t="s">
        <v>486</v>
      </c>
      <c r="U78" s="207" t="s">
        <v>555</v>
      </c>
      <c r="V78" s="208"/>
      <c r="W78" s="210"/>
      <c r="X78" s="208"/>
      <c r="Y78" s="207" t="s">
        <v>486</v>
      </c>
      <c r="Z78" s="208"/>
      <c r="AA78" s="210"/>
      <c r="AB78" s="208"/>
      <c r="AC78" s="207"/>
      <c r="AD78" s="210"/>
      <c r="AE78" s="209"/>
      <c r="AF78" s="209"/>
      <c r="AG78" s="86"/>
      <c r="AH78" s="87"/>
      <c r="AI78" s="87"/>
      <c r="AJ78" s="87"/>
      <c r="AK78" s="93"/>
    </row>
    <row r="79" spans="1:248">
      <c r="F79" s="94"/>
      <c r="H79" s="88"/>
      <c r="I79" s="94"/>
      <c r="O79" s="87"/>
      <c r="P79" s="87"/>
      <c r="Q79" s="87"/>
      <c r="R79" s="87"/>
      <c r="S79" s="87"/>
      <c r="T79" s="87"/>
      <c r="U79" s="94"/>
      <c r="V79" s="87"/>
      <c r="W79" s="87"/>
      <c r="X79" s="87"/>
      <c r="Y79" s="87"/>
      <c r="AH79" s="87"/>
      <c r="AI79" s="93"/>
    </row>
    <row r="80" spans="1:248">
      <c r="A80" s="164" t="s">
        <v>506</v>
      </c>
      <c r="B80" s="164"/>
      <c r="C80" s="164"/>
      <c r="D80" s="164"/>
      <c r="E80" s="164"/>
      <c r="H80" s="88"/>
      <c r="P80" s="87"/>
      <c r="Q80" s="87"/>
      <c r="R80" s="87"/>
      <c r="S80" s="87"/>
      <c r="T80" s="87"/>
      <c r="V80" s="87"/>
      <c r="W80" s="87"/>
      <c r="X80" s="87"/>
      <c r="Y80" s="87"/>
      <c r="AE80" s="86"/>
      <c r="AH80" s="87"/>
      <c r="AI80" s="93"/>
    </row>
    <row r="81" spans="1:248">
      <c r="A81" s="164" t="s">
        <v>507</v>
      </c>
      <c r="H81" s="88"/>
      <c r="P81" s="87"/>
      <c r="Q81" s="87"/>
      <c r="R81" s="87"/>
      <c r="S81" s="87"/>
      <c r="T81" s="87"/>
      <c r="V81" s="87"/>
      <c r="W81" s="87"/>
      <c r="X81" s="87"/>
      <c r="Y81" s="87"/>
      <c r="AE81" s="86"/>
      <c r="AH81" s="87"/>
      <c r="AI81" s="93"/>
    </row>
    <row r="82" spans="1:248">
      <c r="H82" s="88"/>
      <c r="P82" s="87"/>
      <c r="Q82" s="87"/>
      <c r="R82" s="87"/>
      <c r="S82" s="87"/>
      <c r="T82" s="87"/>
      <c r="V82" s="87"/>
      <c r="W82" s="87"/>
      <c r="X82" s="87"/>
      <c r="Y82" s="87"/>
      <c r="AH82" s="87"/>
      <c r="AI82" s="93"/>
    </row>
    <row r="83" spans="1:248" s="132" customFormat="1" ht="12.75">
      <c r="A83" s="131" t="s">
        <v>513</v>
      </c>
      <c r="AG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row>
    <row r="84" spans="1:248">
      <c r="A84" s="133" t="s">
        <v>514</v>
      </c>
      <c r="B84" s="133"/>
      <c r="C84" s="133"/>
      <c r="D84" s="133"/>
      <c r="E84" s="133"/>
      <c r="F84" s="133"/>
      <c r="G84" s="95"/>
      <c r="H84" s="95"/>
      <c r="I84" s="95"/>
      <c r="J84" s="95"/>
      <c r="K84" s="95"/>
      <c r="L84" s="95"/>
      <c r="M84" s="95"/>
      <c r="N84" s="95"/>
      <c r="O84" s="95"/>
      <c r="P84" s="95"/>
      <c r="Q84" s="95"/>
      <c r="R84" s="95"/>
      <c r="S84" s="95"/>
      <c r="T84" s="95"/>
      <c r="U84" s="95"/>
      <c r="V84" s="95"/>
      <c r="W84" s="95"/>
      <c r="X84" s="95"/>
      <c r="Y84" s="95"/>
      <c r="Z84" s="95"/>
      <c r="AA84" s="95"/>
      <c r="AB84" s="95"/>
      <c r="AC84" s="95"/>
      <c r="AD84" s="95"/>
      <c r="AE84" s="95"/>
      <c r="AG84" s="95"/>
    </row>
    <row r="85" spans="1:248" ht="22.5">
      <c r="A85" s="136" t="s">
        <v>510</v>
      </c>
      <c r="B85" s="137" t="s">
        <v>511</v>
      </c>
      <c r="C85" s="87" t="s">
        <v>236</v>
      </c>
      <c r="D85" s="87" t="s">
        <v>34</v>
      </c>
      <c r="E85" s="87" t="s">
        <v>227</v>
      </c>
      <c r="F85" s="87" t="s">
        <v>39</v>
      </c>
      <c r="G85" s="89" t="s">
        <v>238</v>
      </c>
      <c r="H85" s="89" t="s">
        <v>527</v>
      </c>
      <c r="I85" s="139" t="s">
        <v>40</v>
      </c>
      <c r="J85" s="89" t="s">
        <v>42</v>
      </c>
      <c r="K85" s="89" t="s">
        <v>43</v>
      </c>
      <c r="L85" s="87" t="s">
        <v>228</v>
      </c>
      <c r="M85" s="89" t="s">
        <v>249</v>
      </c>
      <c r="N85" s="89" t="s">
        <v>240</v>
      </c>
      <c r="O85" s="89" t="s">
        <v>47</v>
      </c>
      <c r="P85" s="89" t="s">
        <v>45</v>
      </c>
      <c r="Q85" s="89" t="s">
        <v>242</v>
      </c>
      <c r="R85" s="89" t="s">
        <v>52</v>
      </c>
      <c r="S85" s="89" t="s">
        <v>487</v>
      </c>
      <c r="T85" s="89" t="s">
        <v>485</v>
      </c>
      <c r="U85" s="89" t="s">
        <v>554</v>
      </c>
      <c r="V85" s="89" t="s">
        <v>243</v>
      </c>
      <c r="W85" s="139" t="s">
        <v>244</v>
      </c>
      <c r="X85" s="89" t="s">
        <v>50</v>
      </c>
      <c r="Y85" s="89" t="s">
        <v>229</v>
      </c>
      <c r="Z85" s="89" t="s">
        <v>245</v>
      </c>
      <c r="AA85" s="89" t="s">
        <v>246</v>
      </c>
      <c r="AB85" s="89" t="s">
        <v>53</v>
      </c>
      <c r="AC85" s="89" t="s">
        <v>417</v>
      </c>
      <c r="AD85" s="89" t="s">
        <v>603</v>
      </c>
      <c r="AE85" s="139" t="s">
        <v>499</v>
      </c>
      <c r="AF85" s="89" t="s">
        <v>500</v>
      </c>
      <c r="AG85" s="166"/>
      <c r="AH85" s="89" t="s">
        <v>501</v>
      </c>
      <c r="AI85" s="89" t="s">
        <v>342</v>
      </c>
      <c r="AJ85" s="90" t="s">
        <v>343</v>
      </c>
    </row>
    <row r="86" spans="1:248" ht="9.9499999999999993" customHeight="1">
      <c r="A86" s="141"/>
      <c r="B86" s="142"/>
      <c r="C86" s="143">
        <v>2006</v>
      </c>
      <c r="D86" s="143" t="s">
        <v>35</v>
      </c>
      <c r="E86" s="143">
        <v>2013</v>
      </c>
      <c r="F86" s="173">
        <v>2015</v>
      </c>
      <c r="G86" s="143">
        <v>2001</v>
      </c>
      <c r="H86" s="144" t="s">
        <v>41</v>
      </c>
      <c r="I86" s="173" t="s">
        <v>41</v>
      </c>
      <c r="J86" s="143" t="s">
        <v>41</v>
      </c>
      <c r="K86" s="143" t="s">
        <v>44</v>
      </c>
      <c r="L86" s="143">
        <v>2013</v>
      </c>
      <c r="M86" s="143">
        <v>2010</v>
      </c>
      <c r="N86" s="143">
        <v>2005</v>
      </c>
      <c r="O86" s="143" t="s">
        <v>48</v>
      </c>
      <c r="P86" s="143">
        <v>2016</v>
      </c>
      <c r="Q86" s="143">
        <v>2014</v>
      </c>
      <c r="R86" s="143">
        <v>2003</v>
      </c>
      <c r="S86" s="143">
        <v>2003</v>
      </c>
      <c r="T86" s="143">
        <v>2013</v>
      </c>
      <c r="U86" s="143">
        <v>2014</v>
      </c>
      <c r="V86" s="143">
        <v>2016</v>
      </c>
      <c r="W86" s="173" t="s">
        <v>41</v>
      </c>
      <c r="X86" s="143" t="s">
        <v>51</v>
      </c>
      <c r="Y86" s="143">
        <v>2013</v>
      </c>
      <c r="Z86" s="143">
        <v>1999</v>
      </c>
      <c r="AA86" s="143" t="s">
        <v>247</v>
      </c>
      <c r="AB86" s="173" t="s">
        <v>41</v>
      </c>
      <c r="AC86" s="173">
        <v>2010</v>
      </c>
      <c r="AD86" s="143" t="s">
        <v>54</v>
      </c>
      <c r="AE86" s="173" t="s">
        <v>55</v>
      </c>
      <c r="AF86" s="173">
        <v>2019</v>
      </c>
      <c r="AG86" s="166"/>
      <c r="AH86" s="143">
        <v>2008</v>
      </c>
      <c r="AI86" s="143">
        <v>1999</v>
      </c>
      <c r="AJ86" s="144">
        <v>2010</v>
      </c>
    </row>
    <row r="87" spans="1:248" s="149" customFormat="1" ht="9.9499999999999993" customHeight="1">
      <c r="A87" s="145">
        <v>1</v>
      </c>
      <c r="B87" s="201" t="s">
        <v>3</v>
      </c>
      <c r="C87" s="211">
        <v>172</v>
      </c>
      <c r="D87" s="211">
        <v>248.75507149999999</v>
      </c>
      <c r="E87" s="212">
        <v>199.23249736273337</v>
      </c>
      <c r="F87" s="212">
        <v>268.28390385835377</v>
      </c>
      <c r="G87" s="211">
        <v>194.58598564497333</v>
      </c>
      <c r="H87" s="212">
        <v>244.85325166053735</v>
      </c>
      <c r="I87" s="211">
        <v>209.89100100000002</v>
      </c>
      <c r="J87" s="212">
        <v>175.3629890807955</v>
      </c>
      <c r="K87" s="211">
        <v>205.45386466666665</v>
      </c>
      <c r="L87" s="212">
        <v>184.5366741634565</v>
      </c>
      <c r="M87" s="212">
        <v>202.50625471415381</v>
      </c>
      <c r="N87" s="212">
        <v>194.93270000000001</v>
      </c>
      <c r="O87" s="212">
        <v>133.11971288918906</v>
      </c>
      <c r="P87" s="212">
        <v>289.83363015337198</v>
      </c>
      <c r="Q87" s="212">
        <v>269.38647176128524</v>
      </c>
      <c r="R87" s="212">
        <v>288.46830888374137</v>
      </c>
      <c r="S87" s="212">
        <v>279.25739388292271</v>
      </c>
      <c r="T87" s="212">
        <v>238.86638993384352</v>
      </c>
      <c r="U87" s="211">
        <v>236.3285411</v>
      </c>
      <c r="V87" s="211">
        <v>201.43256945233304</v>
      </c>
      <c r="W87" s="212">
        <v>205</v>
      </c>
      <c r="X87" s="211">
        <v>199.98745200000002</v>
      </c>
      <c r="Y87" s="212">
        <v>203.20055349085499</v>
      </c>
      <c r="Z87" s="213">
        <v>231.28491620111734</v>
      </c>
      <c r="AA87" s="213">
        <v>234.1626129256428</v>
      </c>
      <c r="AB87" s="197">
        <v>166.75361959999998</v>
      </c>
      <c r="AC87" s="213">
        <v>275.19110493398193</v>
      </c>
      <c r="AD87" s="212">
        <v>133.94723669999999</v>
      </c>
      <c r="AE87" s="212">
        <v>216.20476138540417</v>
      </c>
      <c r="AF87" s="212">
        <v>247.01257799999999</v>
      </c>
      <c r="AG87" s="140"/>
      <c r="AH87" s="147">
        <v>291</v>
      </c>
      <c r="AI87" s="147">
        <v>184.70367524046912</v>
      </c>
      <c r="AJ87" s="147">
        <v>195.03344999999999</v>
      </c>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86"/>
      <c r="CD87" s="86"/>
      <c r="CE87" s="86"/>
      <c r="CF87" s="86"/>
      <c r="CG87" s="86"/>
      <c r="CH87" s="86"/>
      <c r="CI87" s="86"/>
      <c r="CJ87" s="86"/>
      <c r="CK87" s="86"/>
      <c r="CL87" s="86"/>
      <c r="CM87" s="86"/>
      <c r="CN87" s="86"/>
      <c r="CO87" s="86"/>
      <c r="CP87" s="86"/>
      <c r="CQ87" s="86"/>
      <c r="CR87" s="86"/>
      <c r="CS87" s="86"/>
      <c r="CT87" s="86"/>
      <c r="CU87" s="86"/>
      <c r="CV87" s="86"/>
      <c r="CW87" s="86"/>
      <c r="CX87" s="86"/>
      <c r="CY87" s="86"/>
      <c r="CZ87" s="86"/>
      <c r="DA87" s="86"/>
      <c r="DB87" s="86"/>
      <c r="DC87" s="86"/>
      <c r="DD87" s="86"/>
      <c r="DE87" s="86"/>
      <c r="DF87" s="86"/>
      <c r="DG87" s="86"/>
      <c r="DH87" s="86"/>
      <c r="DI87" s="86"/>
      <c r="DJ87" s="86"/>
      <c r="DK87" s="86"/>
      <c r="DL87" s="86"/>
      <c r="DM87" s="86"/>
      <c r="DN87" s="86"/>
      <c r="DO87" s="86"/>
      <c r="DP87" s="86"/>
      <c r="DQ87" s="86"/>
      <c r="DR87" s="86"/>
      <c r="DS87" s="86"/>
      <c r="DT87" s="86"/>
      <c r="DU87" s="86"/>
      <c r="DV87" s="86"/>
      <c r="DW87" s="86"/>
      <c r="DX87" s="86"/>
      <c r="DY87" s="86"/>
      <c r="DZ87" s="86"/>
      <c r="EA87" s="86"/>
      <c r="EB87" s="86"/>
      <c r="EC87" s="86"/>
      <c r="ED87" s="86"/>
      <c r="EE87" s="86"/>
      <c r="EF87" s="86"/>
      <c r="EG87" s="86"/>
      <c r="EH87" s="86"/>
      <c r="EI87" s="86"/>
      <c r="EJ87" s="86"/>
      <c r="EK87" s="86"/>
      <c r="EL87" s="86"/>
      <c r="EM87" s="86"/>
      <c r="EN87" s="86"/>
      <c r="EO87" s="86"/>
      <c r="EP87" s="86"/>
      <c r="EQ87" s="86"/>
      <c r="ER87" s="86"/>
      <c r="ES87" s="86"/>
      <c r="ET87" s="86"/>
      <c r="EU87" s="86"/>
      <c r="EV87" s="86"/>
      <c r="EW87" s="86"/>
      <c r="EX87" s="86"/>
      <c r="EY87" s="86"/>
      <c r="EZ87" s="86"/>
      <c r="FA87" s="86"/>
      <c r="FB87" s="86"/>
      <c r="FC87" s="86"/>
      <c r="FD87" s="86"/>
      <c r="FE87" s="86"/>
      <c r="FF87" s="86"/>
      <c r="FG87" s="86"/>
      <c r="FH87" s="86"/>
      <c r="FI87" s="86"/>
      <c r="FJ87" s="86"/>
      <c r="FK87" s="86"/>
      <c r="FL87" s="86"/>
      <c r="FM87" s="86"/>
      <c r="FN87" s="86"/>
      <c r="FO87" s="86"/>
      <c r="FP87" s="86"/>
      <c r="FQ87" s="86"/>
      <c r="FR87" s="86"/>
      <c r="FS87" s="86"/>
      <c r="FT87" s="86"/>
      <c r="FU87" s="86"/>
      <c r="FV87" s="86"/>
      <c r="FW87" s="86"/>
      <c r="FX87" s="86"/>
      <c r="FY87" s="86"/>
      <c r="FZ87" s="86"/>
      <c r="GA87" s="86"/>
      <c r="GB87" s="86"/>
      <c r="GC87" s="86"/>
      <c r="GD87" s="86"/>
      <c r="GE87" s="86"/>
      <c r="GF87" s="86"/>
      <c r="GG87" s="86"/>
      <c r="GH87" s="86"/>
      <c r="GI87" s="86"/>
      <c r="GJ87" s="86"/>
      <c r="GK87" s="86"/>
      <c r="GL87" s="86"/>
      <c r="GM87" s="86"/>
      <c r="GN87" s="86"/>
      <c r="GO87" s="86"/>
      <c r="GP87" s="86"/>
      <c r="GQ87" s="86"/>
      <c r="GR87" s="86"/>
      <c r="GS87" s="86"/>
      <c r="GT87" s="86"/>
      <c r="GU87" s="86"/>
      <c r="GV87" s="86"/>
      <c r="GW87" s="86"/>
      <c r="GX87" s="86"/>
      <c r="GY87" s="86"/>
      <c r="GZ87" s="86"/>
      <c r="HA87" s="86"/>
      <c r="HB87" s="86"/>
      <c r="HC87" s="86"/>
      <c r="HD87" s="86"/>
      <c r="HE87" s="86"/>
      <c r="HF87" s="86"/>
      <c r="HG87" s="86"/>
      <c r="HH87" s="86"/>
      <c r="HI87" s="86"/>
      <c r="HJ87" s="86"/>
      <c r="HK87" s="86"/>
      <c r="HL87" s="86"/>
      <c r="HM87" s="86"/>
      <c r="HN87" s="86"/>
      <c r="HO87" s="86"/>
      <c r="HP87" s="86"/>
      <c r="HQ87" s="86"/>
      <c r="HR87" s="86"/>
      <c r="HS87" s="86"/>
      <c r="HT87" s="86"/>
      <c r="HU87" s="86"/>
      <c r="HV87" s="86"/>
      <c r="HW87" s="86"/>
      <c r="HX87" s="86"/>
      <c r="HY87" s="86"/>
      <c r="HZ87" s="86"/>
      <c r="IA87" s="86"/>
      <c r="IB87" s="86"/>
      <c r="IC87" s="86"/>
      <c r="ID87" s="86"/>
      <c r="IE87" s="86"/>
      <c r="IF87" s="86"/>
      <c r="IG87" s="86"/>
      <c r="IH87" s="86"/>
      <c r="II87" s="86"/>
      <c r="IJ87" s="86"/>
      <c r="IK87" s="86"/>
      <c r="IL87" s="86"/>
      <c r="IM87" s="86"/>
      <c r="IN87" s="86"/>
    </row>
    <row r="88" spans="1:248" ht="9.9499999999999993" customHeight="1">
      <c r="A88" s="150">
        <v>1.1000000000000001</v>
      </c>
      <c r="B88" s="202" t="s">
        <v>4</v>
      </c>
      <c r="C88" s="40">
        <v>128</v>
      </c>
      <c r="D88" s="40">
        <v>192.7953</v>
      </c>
      <c r="E88" s="67">
        <v>134.49019560518832</v>
      </c>
      <c r="F88" s="67">
        <v>205.96109796921738</v>
      </c>
      <c r="G88" s="40">
        <v>146.96370698440825</v>
      </c>
      <c r="H88" s="67">
        <v>190.69854678673062</v>
      </c>
      <c r="I88" s="40">
        <v>157.0299</v>
      </c>
      <c r="J88" s="67">
        <v>117.99821034942636</v>
      </c>
      <c r="K88" s="40">
        <v>154.48500000000001</v>
      </c>
      <c r="L88" s="67">
        <v>119.55387876539494</v>
      </c>
      <c r="M88" s="67">
        <v>141.09973126809174</v>
      </c>
      <c r="N88" s="67">
        <v>140.2225</v>
      </c>
      <c r="O88" s="67">
        <v>84.048203388998473</v>
      </c>
      <c r="P88" s="67">
        <v>218.30815236171287</v>
      </c>
      <c r="Q88" s="67">
        <v>174.02797393721343</v>
      </c>
      <c r="R88" s="67">
        <v>241.57243867899635</v>
      </c>
      <c r="S88" s="67">
        <v>240.77652508784661</v>
      </c>
      <c r="T88" s="67">
        <v>169.72136463873392</v>
      </c>
      <c r="U88" s="40">
        <v>165.99700000000001</v>
      </c>
      <c r="V88" s="40">
        <v>145.8967280339954</v>
      </c>
      <c r="W88" s="67">
        <v>160</v>
      </c>
      <c r="X88" s="40">
        <v>129.49600000000001</v>
      </c>
      <c r="Y88" s="67">
        <v>150.0990227294968</v>
      </c>
      <c r="Z88" s="40">
        <v>178.99441340782121</v>
      </c>
      <c r="AA88" s="40">
        <v>169.1174426685198</v>
      </c>
      <c r="AB88" s="40">
        <v>120.7323</v>
      </c>
      <c r="AC88" s="40">
        <v>213.14801945795691</v>
      </c>
      <c r="AD88" s="67">
        <v>85.165880000000001</v>
      </c>
      <c r="AE88" s="67">
        <v>159.43898561229821</v>
      </c>
      <c r="AF88" s="67">
        <v>192.91659999999999</v>
      </c>
      <c r="AG88" s="140"/>
      <c r="AH88" s="138">
        <v>228</v>
      </c>
      <c r="AI88" s="138">
        <v>148.86333586876347</v>
      </c>
      <c r="AJ88" s="138">
        <v>116.2538</v>
      </c>
    </row>
    <row r="89" spans="1:248" ht="9.9499999999999993" customHeight="1">
      <c r="A89" s="150">
        <v>1.2</v>
      </c>
      <c r="B89" s="202" t="s">
        <v>5</v>
      </c>
      <c r="C89" s="40">
        <v>18</v>
      </c>
      <c r="D89" s="40">
        <v>24.537510000000001</v>
      </c>
      <c r="E89" s="67">
        <v>23.608361965868752</v>
      </c>
      <c r="F89" s="67">
        <v>24.934876936300412</v>
      </c>
      <c r="G89" s="40">
        <v>18.188859837740001</v>
      </c>
      <c r="H89" s="67">
        <v>28.697821690586576</v>
      </c>
      <c r="I89" s="40">
        <v>20.23124</v>
      </c>
      <c r="J89" s="67">
        <v>19.766851733717623</v>
      </c>
      <c r="K89" s="40">
        <v>24.105516666666666</v>
      </c>
      <c r="L89" s="67">
        <v>21.516310349135566</v>
      </c>
      <c r="M89" s="67">
        <v>24.156995434969286</v>
      </c>
      <c r="N89" s="67">
        <v>19.604679999999998</v>
      </c>
      <c r="O89" s="67">
        <v>16.049791066362314</v>
      </c>
      <c r="P89" s="67">
        <v>34.276946386326784</v>
      </c>
      <c r="Q89" s="67">
        <v>41.264575634833847</v>
      </c>
      <c r="R89" s="67">
        <v>31.492358933066839</v>
      </c>
      <c r="S89" s="67">
        <v>25.743810813558053</v>
      </c>
      <c r="T89" s="67">
        <v>31.66140225710209</v>
      </c>
      <c r="U89" s="40">
        <v>26.446601000000001</v>
      </c>
      <c r="V89" s="40">
        <v>25.912634731073123</v>
      </c>
      <c r="W89" s="67">
        <v>18</v>
      </c>
      <c r="X89" s="40">
        <v>22.831479999999999</v>
      </c>
      <c r="Y89" s="67">
        <v>22.117048969268183</v>
      </c>
      <c r="Z89" s="40">
        <v>20.111731843575416</v>
      </c>
      <c r="AA89" s="40">
        <v>24.016678248783876</v>
      </c>
      <c r="AB89" s="40">
        <v>18.560189999999999</v>
      </c>
      <c r="AC89" s="40">
        <v>30.020847810979845</v>
      </c>
      <c r="AD89" s="67">
        <v>17.75179</v>
      </c>
      <c r="AE89" s="67">
        <v>29.565334408222618</v>
      </c>
      <c r="AF89" s="67">
        <v>17.260200000000001</v>
      </c>
      <c r="AG89" s="140"/>
      <c r="AH89" s="138">
        <v>38</v>
      </c>
      <c r="AI89" s="138">
        <v>17.700704221491876</v>
      </c>
      <c r="AJ89" s="138">
        <v>29.084530000000001</v>
      </c>
    </row>
    <row r="90" spans="1:248" ht="9.9499999999999993" customHeight="1">
      <c r="A90" s="150">
        <v>1.3</v>
      </c>
      <c r="B90" s="202" t="s">
        <v>6</v>
      </c>
      <c r="C90" s="40">
        <v>15</v>
      </c>
      <c r="D90" s="40">
        <v>29.186129999999999</v>
      </c>
      <c r="E90" s="67">
        <v>24.917945616713631</v>
      </c>
      <c r="F90" s="67">
        <v>20.487019647601095</v>
      </c>
      <c r="G90" s="40">
        <v>19.334951832341734</v>
      </c>
      <c r="H90" s="67">
        <v>24.460048151733186</v>
      </c>
      <c r="I90" s="40">
        <v>30.52505</v>
      </c>
      <c r="J90" s="67">
        <v>23.68667207751853</v>
      </c>
      <c r="K90" s="40">
        <v>13.922703333333335</v>
      </c>
      <c r="L90" s="67">
        <v>23.723713308893235</v>
      </c>
      <c r="M90" s="67">
        <v>24.664661280518452</v>
      </c>
      <c r="N90" s="67">
        <v>35.105519999999999</v>
      </c>
      <c r="O90" s="67">
        <v>12.358494510386571</v>
      </c>
      <c r="P90" s="230">
        <v>37.248531405332102</v>
      </c>
      <c r="Q90" s="67">
        <v>35.312727236424095</v>
      </c>
      <c r="R90" s="67">
        <v>10.832922260887619</v>
      </c>
      <c r="S90" s="67">
        <v>8.6736633830236194</v>
      </c>
      <c r="T90" s="67">
        <v>25.75022700739396</v>
      </c>
      <c r="U90" s="40">
        <v>31.909569999999999</v>
      </c>
      <c r="V90" s="40">
        <v>12.417826282186624</v>
      </c>
      <c r="W90" s="67">
        <v>16</v>
      </c>
      <c r="X90" s="40">
        <v>29.286629999999999</v>
      </c>
      <c r="Y90" s="67">
        <v>21.69318343471916</v>
      </c>
      <c r="Z90" s="40">
        <v>23.128491620111738</v>
      </c>
      <c r="AA90" s="40">
        <v>22.015288394718553</v>
      </c>
      <c r="AB90" s="40">
        <v>17.22439</v>
      </c>
      <c r="AC90" s="40">
        <v>33.022932592077829</v>
      </c>
      <c r="AD90" s="67">
        <v>16.396049999999999</v>
      </c>
      <c r="AE90" s="67">
        <v>12.319639198480525</v>
      </c>
      <c r="AF90" s="67">
        <v>18.65624</v>
      </c>
      <c r="AG90" s="140"/>
      <c r="AH90" s="138">
        <v>25</v>
      </c>
      <c r="AI90" s="138">
        <v>9.6314463561689294</v>
      </c>
      <c r="AJ90" s="138">
        <v>22.165849999999999</v>
      </c>
    </row>
    <row r="91" spans="1:248" ht="9.9499999999999993" customHeight="1">
      <c r="A91" s="150">
        <v>1.4</v>
      </c>
      <c r="B91" s="203" t="s">
        <v>7</v>
      </c>
      <c r="C91" s="40">
        <v>11</v>
      </c>
      <c r="D91" s="40">
        <v>0.5561161</v>
      </c>
      <c r="E91" s="67">
        <v>16.215994174962646</v>
      </c>
      <c r="F91" s="67">
        <v>15.813876648510819</v>
      </c>
      <c r="G91" s="40">
        <v>10.098466990483393</v>
      </c>
      <c r="H91" s="67">
        <v>0.99683503148697106</v>
      </c>
      <c r="I91" s="40" t="s">
        <v>248</v>
      </c>
      <c r="J91" s="67">
        <v>12.420541089384958</v>
      </c>
      <c r="K91" s="40">
        <v>9.4458649999999995</v>
      </c>
      <c r="L91" s="67">
        <v>19.742771740032776</v>
      </c>
      <c r="M91" s="67">
        <v>12.584866730574312</v>
      </c>
      <c r="N91" s="67" t="s">
        <v>248</v>
      </c>
      <c r="O91" s="67">
        <v>16.472275716390818</v>
      </c>
      <c r="P91" s="230"/>
      <c r="Q91" s="67">
        <v>18.78119495281387</v>
      </c>
      <c r="R91" s="67">
        <v>4.5705890107905036</v>
      </c>
      <c r="S91" s="67">
        <v>4.063394598494436</v>
      </c>
      <c r="T91" s="67">
        <v>11.733396030613569</v>
      </c>
      <c r="U91" s="40">
        <v>11.41868</v>
      </c>
      <c r="V91" s="40">
        <v>12.398042827278376</v>
      </c>
      <c r="W91" s="67">
        <v>12</v>
      </c>
      <c r="X91" s="40">
        <v>13.826840000000001</v>
      </c>
      <c r="Y91" s="67">
        <v>9.2912983573708576</v>
      </c>
      <c r="Z91" s="40">
        <v>9.050279329608939</v>
      </c>
      <c r="AA91" s="40">
        <v>19.013203613620568</v>
      </c>
      <c r="AB91" s="40">
        <v>8.6191270000000006</v>
      </c>
      <c r="AC91" s="67" t="s">
        <v>248</v>
      </c>
      <c r="AD91" s="67">
        <v>14.342000000000001</v>
      </c>
      <c r="AE91" s="67">
        <v>12.532156182627816</v>
      </c>
      <c r="AF91" s="67">
        <v>15.651059999999999</v>
      </c>
      <c r="AG91" s="140"/>
      <c r="AH91" s="138" t="s">
        <v>248</v>
      </c>
      <c r="AI91" s="138">
        <v>8.5081887940448393</v>
      </c>
      <c r="AJ91" s="138">
        <v>13.070830000000001</v>
      </c>
    </row>
    <row r="92" spans="1:248" ht="9.9499999999999993" customHeight="1">
      <c r="A92" s="150">
        <v>1.5</v>
      </c>
      <c r="B92" s="203" t="s">
        <v>8</v>
      </c>
      <c r="C92" s="40" t="s">
        <v>248</v>
      </c>
      <c r="D92" s="40">
        <v>0.73321519999999996</v>
      </c>
      <c r="E92" s="67" t="s">
        <v>248</v>
      </c>
      <c r="F92" s="67">
        <v>1.0870326567240653</v>
      </c>
      <c r="G92" s="40" t="s">
        <v>248</v>
      </c>
      <c r="H92" s="67" t="s">
        <v>248</v>
      </c>
      <c r="I92" s="40" t="s">
        <v>248</v>
      </c>
      <c r="J92" s="67">
        <v>1.3238211161101436</v>
      </c>
      <c r="K92" s="40">
        <v>0.608483</v>
      </c>
      <c r="L92" s="121" t="s">
        <v>248</v>
      </c>
      <c r="M92" s="48" t="s">
        <v>248</v>
      </c>
      <c r="N92" s="48" t="s">
        <v>248</v>
      </c>
      <c r="O92" s="67">
        <v>1.0583932826592659</v>
      </c>
      <c r="P92" s="48" t="s">
        <v>248</v>
      </c>
      <c r="Q92" s="48" t="s">
        <v>248</v>
      </c>
      <c r="R92" s="48" t="s">
        <v>248</v>
      </c>
      <c r="S92" s="48" t="s">
        <v>248</v>
      </c>
      <c r="T92" s="48" t="s">
        <v>248</v>
      </c>
      <c r="U92" s="40">
        <v>0.55669009999999997</v>
      </c>
      <c r="V92" s="41">
        <v>1.4607135342169195</v>
      </c>
      <c r="W92" s="48" t="s">
        <v>248</v>
      </c>
      <c r="X92" s="48" t="s">
        <v>248</v>
      </c>
      <c r="Y92" s="67" t="s">
        <v>248</v>
      </c>
      <c r="Z92" s="67" t="s">
        <v>248</v>
      </c>
      <c r="AA92" s="67" t="s">
        <v>248</v>
      </c>
      <c r="AB92" s="40">
        <v>1.2085710000000001</v>
      </c>
      <c r="AC92" s="67" t="s">
        <v>248</v>
      </c>
      <c r="AD92" s="67" t="s">
        <v>248</v>
      </c>
      <c r="AE92" s="67">
        <v>1.3946777409385587</v>
      </c>
      <c r="AF92" s="67">
        <v>2.5284779999999998</v>
      </c>
      <c r="AG92" s="140"/>
      <c r="AH92" s="138" t="s">
        <v>248</v>
      </c>
      <c r="AI92" s="138" t="s">
        <v>248</v>
      </c>
      <c r="AJ92" s="138" t="s">
        <v>248</v>
      </c>
    </row>
    <row r="93" spans="1:248" ht="9.9499999999999993" customHeight="1">
      <c r="A93" s="150">
        <v>1.6</v>
      </c>
      <c r="B93" s="203" t="s">
        <v>9</v>
      </c>
      <c r="C93" s="40" t="s">
        <v>248</v>
      </c>
      <c r="D93" s="40">
        <v>0.94680019999999998</v>
      </c>
      <c r="E93" s="67" t="s">
        <v>248</v>
      </c>
      <c r="F93" s="67" t="s">
        <v>248</v>
      </c>
      <c r="G93" s="40" t="s">
        <v>248</v>
      </c>
      <c r="H93" s="67" t="s">
        <v>248</v>
      </c>
      <c r="I93" s="40">
        <v>2.1048110000000002</v>
      </c>
      <c r="J93" s="67">
        <v>0.16689271463788183</v>
      </c>
      <c r="K93" s="40">
        <v>2.8862966666666665</v>
      </c>
      <c r="L93" s="121" t="s">
        <v>248</v>
      </c>
      <c r="M93" s="48" t="s">
        <v>248</v>
      </c>
      <c r="N93" s="48" t="s">
        <v>248</v>
      </c>
      <c r="O93" s="67">
        <v>3.1325549243916102</v>
      </c>
      <c r="P93" s="48" t="s">
        <v>248</v>
      </c>
      <c r="Q93" s="48" t="s">
        <v>248</v>
      </c>
      <c r="R93" s="48" t="s">
        <v>248</v>
      </c>
      <c r="S93" s="48" t="s">
        <v>248</v>
      </c>
      <c r="T93" s="48" t="s">
        <v>248</v>
      </c>
      <c r="U93" s="48" t="s">
        <v>248</v>
      </c>
      <c r="V93" s="41">
        <v>3.3466240435825991</v>
      </c>
      <c r="W93" s="48" t="s">
        <v>248</v>
      </c>
      <c r="X93" s="40">
        <v>4.5465020000000003</v>
      </c>
      <c r="Y93" s="67" t="s">
        <v>248</v>
      </c>
      <c r="Z93" s="67" t="s">
        <v>248</v>
      </c>
      <c r="AA93" s="67" t="s">
        <v>248</v>
      </c>
      <c r="AB93" s="40">
        <v>0</v>
      </c>
      <c r="AC93" s="67" t="s">
        <v>248</v>
      </c>
      <c r="AD93" s="67">
        <v>0</v>
      </c>
      <c r="AE93" s="67">
        <v>0.9539682428364632</v>
      </c>
      <c r="AF93" s="67" t="s">
        <v>248</v>
      </c>
      <c r="AG93" s="140"/>
      <c r="AH93" s="138" t="s">
        <v>248</v>
      </c>
      <c r="AI93" s="138" t="s">
        <v>248</v>
      </c>
      <c r="AJ93" s="138">
        <v>14.45844</v>
      </c>
    </row>
    <row r="94" spans="1:248" s="149" customFormat="1" ht="9.9499999999999993" customHeight="1">
      <c r="A94" s="145">
        <v>2</v>
      </c>
      <c r="B94" s="204" t="s">
        <v>10</v>
      </c>
      <c r="C94" s="198">
        <v>311</v>
      </c>
      <c r="D94" s="198">
        <v>269.171988</v>
      </c>
      <c r="E94" s="189">
        <v>237.32297201649885</v>
      </c>
      <c r="F94" s="189">
        <v>223.65640946944225</v>
      </c>
      <c r="G94" s="198">
        <v>242.80872090772155</v>
      </c>
      <c r="H94" s="189">
        <v>249.21239232687756</v>
      </c>
      <c r="I94" s="198">
        <v>235.76946800000002</v>
      </c>
      <c r="J94" s="189">
        <v>224.03084764937225</v>
      </c>
      <c r="K94" s="198">
        <v>242.27837483333332</v>
      </c>
      <c r="L94" s="189">
        <v>259.48146483807767</v>
      </c>
      <c r="M94" s="189">
        <v>293.76732468358944</v>
      </c>
      <c r="N94" s="189">
        <v>292.50830299999996</v>
      </c>
      <c r="O94" s="189">
        <v>306.33594118203092</v>
      </c>
      <c r="P94" s="189">
        <v>219.07299114856099</v>
      </c>
      <c r="Q94" s="189">
        <v>215.00893666260768</v>
      </c>
      <c r="R94" s="189">
        <v>253.25411262419991</v>
      </c>
      <c r="S94" s="189">
        <v>291.95165906622367</v>
      </c>
      <c r="T94" s="189">
        <v>239.61742768193025</v>
      </c>
      <c r="U94" s="198">
        <v>331.290818</v>
      </c>
      <c r="V94" s="198">
        <v>224.94610999729392</v>
      </c>
      <c r="W94" s="189">
        <v>264</v>
      </c>
      <c r="X94" s="198">
        <v>227.40991700000001</v>
      </c>
      <c r="Y94" s="189">
        <v>295.00822903337445</v>
      </c>
      <c r="Z94" s="198">
        <v>328.15642458100558</v>
      </c>
      <c r="AA94" s="198">
        <v>286.19874913134117</v>
      </c>
      <c r="AB94" s="198">
        <v>289.1279055</v>
      </c>
      <c r="AC94" s="198">
        <v>220.15288394718553</v>
      </c>
      <c r="AD94" s="189">
        <v>305.04739499999999</v>
      </c>
      <c r="AE94" s="189">
        <v>248.63229019063292</v>
      </c>
      <c r="AF94" s="189">
        <v>271.28404600000005</v>
      </c>
      <c r="AG94" s="140"/>
      <c r="AH94" s="147">
        <v>234</v>
      </c>
      <c r="AI94" s="147">
        <v>351.93530639285547</v>
      </c>
      <c r="AJ94" s="147">
        <v>249.5884149</v>
      </c>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6"/>
      <c r="CC94" s="86"/>
      <c r="CD94" s="86"/>
      <c r="CE94" s="86"/>
      <c r="CF94" s="86"/>
      <c r="CG94" s="86"/>
      <c r="CH94" s="86"/>
      <c r="CI94" s="86"/>
      <c r="CJ94" s="86"/>
      <c r="CK94" s="86"/>
      <c r="CL94" s="86"/>
      <c r="CM94" s="86"/>
      <c r="CN94" s="86"/>
      <c r="CO94" s="86"/>
      <c r="CP94" s="86"/>
      <c r="CQ94" s="86"/>
      <c r="CR94" s="86"/>
      <c r="CS94" s="86"/>
      <c r="CT94" s="86"/>
      <c r="CU94" s="86"/>
      <c r="CV94" s="86"/>
      <c r="CW94" s="86"/>
      <c r="CX94" s="86"/>
      <c r="CY94" s="86"/>
      <c r="CZ94" s="86"/>
      <c r="DA94" s="86"/>
      <c r="DB94" s="86"/>
      <c r="DC94" s="86"/>
      <c r="DD94" s="86"/>
      <c r="DE94" s="86"/>
      <c r="DF94" s="86"/>
      <c r="DG94" s="86"/>
      <c r="DH94" s="86"/>
      <c r="DI94" s="86"/>
      <c r="DJ94" s="86"/>
      <c r="DK94" s="86"/>
      <c r="DL94" s="86"/>
      <c r="DM94" s="86"/>
      <c r="DN94" s="86"/>
      <c r="DO94" s="86"/>
      <c r="DP94" s="86"/>
      <c r="DQ94" s="86"/>
      <c r="DR94" s="86"/>
      <c r="DS94" s="86"/>
      <c r="DT94" s="86"/>
      <c r="DU94" s="86"/>
      <c r="DV94" s="86"/>
      <c r="DW94" s="86"/>
      <c r="DX94" s="86"/>
      <c r="DY94" s="86"/>
      <c r="DZ94" s="86"/>
      <c r="EA94" s="86"/>
      <c r="EB94" s="86"/>
      <c r="EC94" s="86"/>
      <c r="ED94" s="86"/>
      <c r="EE94" s="86"/>
      <c r="EF94" s="86"/>
      <c r="EG94" s="86"/>
      <c r="EH94" s="86"/>
      <c r="EI94" s="86"/>
      <c r="EJ94" s="86"/>
      <c r="EK94" s="86"/>
      <c r="EL94" s="86"/>
      <c r="EM94" s="86"/>
      <c r="EN94" s="86"/>
      <c r="EO94" s="86"/>
      <c r="EP94" s="86"/>
      <c r="EQ94" s="86"/>
      <c r="ER94" s="86"/>
      <c r="ES94" s="86"/>
      <c r="ET94" s="86"/>
      <c r="EU94" s="86"/>
      <c r="EV94" s="86"/>
      <c r="EW94" s="86"/>
      <c r="EX94" s="86"/>
      <c r="EY94" s="86"/>
      <c r="EZ94" s="86"/>
      <c r="FA94" s="86"/>
      <c r="FB94" s="86"/>
      <c r="FC94" s="86"/>
      <c r="FD94" s="86"/>
      <c r="FE94" s="86"/>
      <c r="FF94" s="86"/>
      <c r="FG94" s="86"/>
      <c r="FH94" s="86"/>
      <c r="FI94" s="86"/>
      <c r="FJ94" s="86"/>
      <c r="FK94" s="86"/>
      <c r="FL94" s="86"/>
      <c r="FM94" s="86"/>
      <c r="FN94" s="86"/>
      <c r="FO94" s="86"/>
      <c r="FP94" s="86"/>
      <c r="FQ94" s="86"/>
      <c r="FR94" s="86"/>
      <c r="FS94" s="86"/>
      <c r="FT94" s="86"/>
      <c r="FU94" s="86"/>
      <c r="FV94" s="86"/>
      <c r="FW94" s="86"/>
      <c r="FX94" s="86"/>
      <c r="FY94" s="86"/>
      <c r="FZ94" s="86"/>
      <c r="GA94" s="86"/>
      <c r="GB94" s="86"/>
      <c r="GC94" s="86"/>
      <c r="GD94" s="86"/>
      <c r="GE94" s="86"/>
      <c r="GF94" s="86"/>
      <c r="GG94" s="86"/>
      <c r="GH94" s="86"/>
      <c r="GI94" s="86"/>
      <c r="GJ94" s="86"/>
      <c r="GK94" s="86"/>
      <c r="GL94" s="86"/>
      <c r="GM94" s="86"/>
      <c r="GN94" s="86"/>
      <c r="GO94" s="86"/>
      <c r="GP94" s="86"/>
      <c r="GQ94" s="86"/>
      <c r="GR94" s="86"/>
      <c r="GS94" s="86"/>
      <c r="GT94" s="86"/>
      <c r="GU94" s="86"/>
      <c r="GV94" s="86"/>
      <c r="GW94" s="86"/>
      <c r="GX94" s="86"/>
      <c r="GY94" s="86"/>
      <c r="GZ94" s="86"/>
      <c r="HA94" s="86"/>
      <c r="HB94" s="86"/>
      <c r="HC94" s="86"/>
      <c r="HD94" s="86"/>
      <c r="HE94" s="86"/>
      <c r="HF94" s="86"/>
      <c r="HG94" s="86"/>
      <c r="HH94" s="86"/>
      <c r="HI94" s="86"/>
      <c r="HJ94" s="86"/>
      <c r="HK94" s="86"/>
      <c r="HL94" s="86"/>
      <c r="HM94" s="86"/>
      <c r="HN94" s="86"/>
      <c r="HO94" s="86"/>
      <c r="HP94" s="86"/>
      <c r="HQ94" s="86"/>
      <c r="HR94" s="86"/>
      <c r="HS94" s="86"/>
      <c r="HT94" s="86"/>
      <c r="HU94" s="86"/>
      <c r="HV94" s="86"/>
      <c r="HW94" s="86"/>
      <c r="HX94" s="86"/>
      <c r="HY94" s="86"/>
      <c r="HZ94" s="86"/>
      <c r="IA94" s="86"/>
      <c r="IB94" s="86"/>
      <c r="IC94" s="86"/>
      <c r="ID94" s="86"/>
      <c r="IE94" s="86"/>
      <c r="IF94" s="86"/>
      <c r="IG94" s="86"/>
      <c r="IH94" s="86"/>
      <c r="II94" s="86"/>
      <c r="IJ94" s="86"/>
      <c r="IK94" s="86"/>
      <c r="IL94" s="86"/>
      <c r="IM94" s="86"/>
      <c r="IN94" s="86"/>
    </row>
    <row r="95" spans="1:248" ht="9.9499999999999993" customHeight="1">
      <c r="A95" s="150">
        <v>2.1</v>
      </c>
      <c r="B95" s="202" t="s">
        <v>11</v>
      </c>
      <c r="C95" s="40">
        <v>168</v>
      </c>
      <c r="D95" s="40">
        <v>169.8544</v>
      </c>
      <c r="E95" s="67">
        <v>153.11448720417189</v>
      </c>
      <c r="F95" s="67">
        <v>133.90981421331688</v>
      </c>
      <c r="G95" s="40">
        <v>145.03308450641524</v>
      </c>
      <c r="H95" s="67">
        <v>146.94880009055223</v>
      </c>
      <c r="I95" s="40">
        <v>134.0736</v>
      </c>
      <c r="J95" s="67">
        <v>157.46651381112545</v>
      </c>
      <c r="K95" s="40">
        <v>138.74393333333333</v>
      </c>
      <c r="L95" s="67">
        <v>193.31292832885634</v>
      </c>
      <c r="M95" s="67">
        <v>196.19018747577039</v>
      </c>
      <c r="N95" s="67">
        <v>133.81739999999999</v>
      </c>
      <c r="O95" s="67">
        <v>204.98650448125591</v>
      </c>
      <c r="P95" s="67">
        <v>140.57236649743496</v>
      </c>
      <c r="Q95" s="67">
        <v>130.25061002293492</v>
      </c>
      <c r="R95" s="67">
        <v>170.35072609535362</v>
      </c>
      <c r="S95" s="67">
        <v>207.41706358941897</v>
      </c>
      <c r="T95" s="67">
        <v>148.18656764820344</v>
      </c>
      <c r="U95" s="40">
        <v>274.62698999999998</v>
      </c>
      <c r="V95" s="40">
        <v>128.3273928648957</v>
      </c>
      <c r="W95" s="67">
        <v>142</v>
      </c>
      <c r="X95" s="40">
        <v>113.961</v>
      </c>
      <c r="Y95" s="67">
        <v>178.09642176242915</v>
      </c>
      <c r="Z95" s="40">
        <v>253.40782122905028</v>
      </c>
      <c r="AA95" s="40">
        <v>212.14732453092427</v>
      </c>
      <c r="AB95" s="40">
        <v>163.41370000000001</v>
      </c>
      <c r="AC95" s="40">
        <v>120.08339124391938</v>
      </c>
      <c r="AD95" s="67">
        <v>221.55009999999999</v>
      </c>
      <c r="AE95" s="67">
        <v>132.42945020007795</v>
      </c>
      <c r="AF95" s="67">
        <v>119.82769999999999</v>
      </c>
      <c r="AG95" s="140"/>
      <c r="AH95" s="138">
        <v>155</v>
      </c>
      <c r="AI95" s="138">
        <v>298.2454985666771</v>
      </c>
      <c r="AJ95" s="138">
        <v>183.36439999999999</v>
      </c>
    </row>
    <row r="96" spans="1:248" ht="9.9499999999999993" customHeight="1">
      <c r="A96" s="150">
        <v>2.2000000000000002</v>
      </c>
      <c r="B96" s="202" t="s">
        <v>12</v>
      </c>
      <c r="C96" s="40">
        <v>36.000000000000007</v>
      </c>
      <c r="D96" s="40">
        <v>25.712299999999999</v>
      </c>
      <c r="E96" s="67">
        <v>33.950900467250435</v>
      </c>
      <c r="F96" s="67">
        <v>29.293424819405949</v>
      </c>
      <c r="G96" s="40">
        <v>29.69169137925951</v>
      </c>
      <c r="H96" s="67">
        <v>27.473366051831107</v>
      </c>
      <c r="I96" s="40">
        <v>29.00656</v>
      </c>
      <c r="J96" s="67">
        <v>25.634112248325259</v>
      </c>
      <c r="K96" s="40">
        <v>37.056550000000001</v>
      </c>
      <c r="L96" s="67">
        <v>18.136906552147146</v>
      </c>
      <c r="M96" s="67">
        <v>21.595929335113532</v>
      </c>
      <c r="N96" s="67">
        <v>39.327440000000003</v>
      </c>
      <c r="O96" s="67">
        <v>32.418981208975531</v>
      </c>
      <c r="P96" s="67">
        <v>33.757077164349695</v>
      </c>
      <c r="Q96" s="67">
        <v>19.821152851957294</v>
      </c>
      <c r="R96" s="67">
        <v>20.396676396712447</v>
      </c>
      <c r="S96" s="67">
        <v>21.490399550386719</v>
      </c>
      <c r="T96" s="67">
        <v>29.21604617978986</v>
      </c>
      <c r="U96" s="40">
        <v>17.347539999999999</v>
      </c>
      <c r="V96" s="40">
        <v>31.774909197962423</v>
      </c>
      <c r="W96" s="67">
        <v>30</v>
      </c>
      <c r="X96" s="40">
        <v>26.09468</v>
      </c>
      <c r="Y96" s="67">
        <v>30.324749482790278</v>
      </c>
      <c r="Z96" s="40">
        <v>19.106145251396647</v>
      </c>
      <c r="AA96" s="40">
        <v>20.01389854065323</v>
      </c>
      <c r="AB96" s="40">
        <v>31.0425</v>
      </c>
      <c r="AC96" s="40">
        <v>27.01876302988186</v>
      </c>
      <c r="AD96" s="67">
        <v>14.789580000000001</v>
      </c>
      <c r="AE96" s="67">
        <v>35.507962690629235</v>
      </c>
      <c r="AF96" s="67">
        <v>26.388549999999999</v>
      </c>
      <c r="AG96" s="140"/>
      <c r="AH96" s="138">
        <v>25</v>
      </c>
      <c r="AI96" s="138">
        <v>8.9252060760673242</v>
      </c>
      <c r="AJ96" s="138">
        <v>10.733650000000001</v>
      </c>
    </row>
    <row r="97" spans="1:248" ht="9.9499999999999993" customHeight="1">
      <c r="A97" s="150">
        <v>2.2999999999999998</v>
      </c>
      <c r="B97" s="205" t="s">
        <v>13</v>
      </c>
      <c r="C97" s="40">
        <v>63.500000000000007</v>
      </c>
      <c r="D97" s="40">
        <v>47</v>
      </c>
      <c r="E97" s="67">
        <v>29</v>
      </c>
      <c r="F97" s="67">
        <v>39.139979977046977</v>
      </c>
      <c r="G97" s="40">
        <v>35.435034878393338</v>
      </c>
      <c r="H97" s="67">
        <v>42</v>
      </c>
      <c r="I97" s="40">
        <v>32.157617000000002</v>
      </c>
      <c r="J97" s="67">
        <v>30.000002631250201</v>
      </c>
      <c r="K97" s="40">
        <v>26.358883166666665</v>
      </c>
      <c r="L97" s="67">
        <v>25</v>
      </c>
      <c r="M97" s="67">
        <v>47</v>
      </c>
      <c r="N97" s="67">
        <v>92.890829999999994</v>
      </c>
      <c r="O97" s="67">
        <v>35.469467160980038</v>
      </c>
      <c r="P97" s="67" t="s">
        <v>248</v>
      </c>
      <c r="Q97" s="67">
        <v>44.256726761903366</v>
      </c>
      <c r="R97" s="67">
        <v>25</v>
      </c>
      <c r="S97" s="67">
        <v>30</v>
      </c>
      <c r="T97" s="67">
        <v>28</v>
      </c>
      <c r="U97" s="40">
        <v>55.470733000000003</v>
      </c>
      <c r="V97" s="40">
        <v>28.676588924143793</v>
      </c>
      <c r="W97" s="67">
        <v>44</v>
      </c>
      <c r="X97" s="40">
        <v>34</v>
      </c>
      <c r="Y97" s="67">
        <v>55</v>
      </c>
      <c r="Z97" s="40">
        <v>26.145251396648046</v>
      </c>
      <c r="AA97" s="40">
        <v>30.020847810979845</v>
      </c>
      <c r="AB97" s="40">
        <v>45</v>
      </c>
      <c r="AC97" s="40">
        <v>38.026407227241144</v>
      </c>
      <c r="AD97" s="67">
        <v>45.633295000000004</v>
      </c>
      <c r="AE97" s="67">
        <v>46.765517432258342</v>
      </c>
      <c r="AF97" s="67">
        <v>39.302430000000001</v>
      </c>
      <c r="AG97" s="140"/>
      <c r="AH97" s="138">
        <v>33</v>
      </c>
      <c r="AI97" s="138">
        <v>37.082322597102525</v>
      </c>
      <c r="AJ97" s="138">
        <v>30</v>
      </c>
    </row>
    <row r="98" spans="1:248" ht="9.9499999999999993" customHeight="1">
      <c r="A98" s="150" t="s">
        <v>0</v>
      </c>
      <c r="B98" s="205" t="s">
        <v>14</v>
      </c>
      <c r="C98" s="40" t="s">
        <v>248</v>
      </c>
      <c r="D98" s="40">
        <v>44.985590000000002</v>
      </c>
      <c r="E98" s="67">
        <v>28.949338717244331</v>
      </c>
      <c r="F98" s="67">
        <v>37.136023038114473</v>
      </c>
      <c r="G98" s="40" t="s">
        <v>248</v>
      </c>
      <c r="H98" s="67">
        <v>41.816500042782636</v>
      </c>
      <c r="I98" s="40">
        <v>30.957789999999999</v>
      </c>
      <c r="J98" s="67">
        <v>29.133492555250072</v>
      </c>
      <c r="K98" s="40">
        <v>25.381916666666665</v>
      </c>
      <c r="L98" s="67">
        <v>24.731475112934973</v>
      </c>
      <c r="M98" s="67">
        <v>47.027448532314153</v>
      </c>
      <c r="N98" s="67" t="s">
        <v>248</v>
      </c>
      <c r="O98" s="67">
        <v>32.745228627540328</v>
      </c>
      <c r="P98" s="67">
        <v>35.90409611653066</v>
      </c>
      <c r="Q98" s="67" t="s">
        <v>248</v>
      </c>
      <c r="R98" s="67">
        <v>24.501495823319388</v>
      </c>
      <c r="S98" s="67">
        <v>29.969205368890947</v>
      </c>
      <c r="T98" s="67">
        <v>27.983006875081074</v>
      </c>
      <c r="U98" s="40">
        <v>48.292250000000003</v>
      </c>
      <c r="V98" s="40">
        <v>28.268638668256603</v>
      </c>
      <c r="W98" s="67">
        <v>44</v>
      </c>
      <c r="X98" s="40">
        <v>34.342750000000002</v>
      </c>
      <c r="Y98" s="67">
        <v>54.562462402503989</v>
      </c>
      <c r="Z98" s="40" t="s">
        <v>248</v>
      </c>
      <c r="AA98" s="40">
        <v>30</v>
      </c>
      <c r="AB98" s="40">
        <v>41.895780000000002</v>
      </c>
      <c r="AC98" s="40">
        <v>31.02154273801251</v>
      </c>
      <c r="AD98" s="67">
        <v>43.089390000000002</v>
      </c>
      <c r="AE98" s="67">
        <v>37.342112782946046</v>
      </c>
      <c r="AF98" s="67">
        <v>36.809469999999997</v>
      </c>
      <c r="AG98" s="140"/>
      <c r="AH98" s="138" t="s">
        <v>248</v>
      </c>
      <c r="AI98" s="138" t="s">
        <v>248</v>
      </c>
      <c r="AJ98" s="138">
        <v>28.775390000000002</v>
      </c>
    </row>
    <row r="99" spans="1:248" ht="9.9499999999999993" customHeight="1">
      <c r="A99" s="150" t="s">
        <v>1</v>
      </c>
      <c r="B99" s="205" t="s">
        <v>15</v>
      </c>
      <c r="C99" s="40" t="s">
        <v>248</v>
      </c>
      <c r="D99" s="40">
        <v>1.7997700000000001</v>
      </c>
      <c r="E99" s="67" t="s">
        <v>248</v>
      </c>
      <c r="F99" s="67">
        <v>2.0429935492188416</v>
      </c>
      <c r="G99" s="40" t="s">
        <v>248</v>
      </c>
      <c r="H99" s="67" t="s">
        <v>248</v>
      </c>
      <c r="I99" s="40">
        <v>1.199827</v>
      </c>
      <c r="J99" s="67">
        <v>0.96935798502077319</v>
      </c>
      <c r="K99" s="40">
        <v>0.97696649999999996</v>
      </c>
      <c r="L99" s="67" t="s">
        <v>248</v>
      </c>
      <c r="M99" s="67" t="s">
        <v>248</v>
      </c>
      <c r="N99" s="67" t="s">
        <v>248</v>
      </c>
      <c r="O99" s="67">
        <v>2.7242305236826163</v>
      </c>
      <c r="P99" s="230">
        <v>5.28922676164908</v>
      </c>
      <c r="Q99" s="67" t="s">
        <v>248</v>
      </c>
      <c r="R99" s="67" t="s">
        <v>248</v>
      </c>
      <c r="S99" s="67" t="s">
        <v>248</v>
      </c>
      <c r="T99" s="67" t="s">
        <v>248</v>
      </c>
      <c r="U99" s="40">
        <v>7.1784829999999999</v>
      </c>
      <c r="V99" s="40">
        <v>0.40795025588718964</v>
      </c>
      <c r="W99" s="67" t="s">
        <v>248</v>
      </c>
      <c r="X99" s="40">
        <v>0</v>
      </c>
      <c r="Y99" s="67" t="s">
        <v>248</v>
      </c>
      <c r="Z99" s="40" t="s">
        <v>248</v>
      </c>
      <c r="AA99" s="40" t="s">
        <v>248</v>
      </c>
      <c r="AB99" s="40">
        <v>3.494494</v>
      </c>
      <c r="AC99" s="40">
        <v>7.0048644892286314</v>
      </c>
      <c r="AD99" s="67">
        <v>2.5439050000000001</v>
      </c>
      <c r="AE99" s="67">
        <v>9.4234046493123014</v>
      </c>
      <c r="AF99" s="67">
        <v>2.4820519999999999</v>
      </c>
      <c r="AG99" s="140"/>
      <c r="AH99" s="138" t="s">
        <v>248</v>
      </c>
      <c r="AI99" s="138" t="s">
        <v>248</v>
      </c>
      <c r="AJ99" s="138">
        <v>1.381982</v>
      </c>
    </row>
    <row r="100" spans="1:248" ht="9.9499999999999993" customHeight="1">
      <c r="A100" s="150">
        <v>2.4</v>
      </c>
      <c r="B100" s="205" t="s">
        <v>16</v>
      </c>
      <c r="C100" s="40" t="s">
        <v>248</v>
      </c>
      <c r="D100" s="40">
        <v>1.2100390000000001</v>
      </c>
      <c r="E100" s="67">
        <v>3.2194105539480353</v>
      </c>
      <c r="F100" s="67">
        <v>5.4711058283100185</v>
      </c>
      <c r="G100" s="40">
        <v>8.5649721815693898</v>
      </c>
      <c r="H100" s="67">
        <v>7.9318551323522968</v>
      </c>
      <c r="I100" s="40">
        <v>4.8553189999999997</v>
      </c>
      <c r="J100" s="67">
        <v>3.0886942709042264</v>
      </c>
      <c r="K100" s="40">
        <v>6.8912333333333331</v>
      </c>
      <c r="L100" s="67">
        <v>8.7557822949648845</v>
      </c>
      <c r="M100" s="67">
        <v>7.7090661650841987</v>
      </c>
      <c r="N100" s="67" t="s">
        <v>248</v>
      </c>
      <c r="O100" s="67">
        <v>8.3088103842936363</v>
      </c>
      <c r="P100" s="230"/>
      <c r="Q100" s="67">
        <v>1.3588468127067443</v>
      </c>
      <c r="R100" s="67">
        <v>10.179261082466173</v>
      </c>
      <c r="S100" s="67">
        <v>11.146576556313649</v>
      </c>
      <c r="T100" s="67">
        <v>2.9640355428719678</v>
      </c>
      <c r="U100" s="40">
        <v>17.53059</v>
      </c>
      <c r="V100" s="40">
        <v>8.7309182499159927</v>
      </c>
      <c r="W100" s="67">
        <v>9</v>
      </c>
      <c r="X100" s="40">
        <v>0</v>
      </c>
      <c r="Y100" s="67">
        <v>10.423172728054656</v>
      </c>
      <c r="Z100" s="40">
        <v>10.055865921787708</v>
      </c>
      <c r="AA100" s="40">
        <v>5.0034746351633075</v>
      </c>
      <c r="AB100" s="40">
        <v>7.9897919999999996</v>
      </c>
      <c r="AC100" s="40" t="s">
        <v>248</v>
      </c>
      <c r="AD100" s="67">
        <v>2.1989770000000002</v>
      </c>
      <c r="AE100" s="67">
        <v>8.118703308411197</v>
      </c>
      <c r="AF100" s="67">
        <v>5.0079339999999997</v>
      </c>
      <c r="AG100" s="140"/>
      <c r="AH100" s="138">
        <v>2</v>
      </c>
      <c r="AI100" s="138">
        <v>1.2326431314389206</v>
      </c>
      <c r="AJ100" s="138">
        <v>0.92404090000000005</v>
      </c>
    </row>
    <row r="101" spans="1:248" ht="9.9499999999999993" customHeight="1">
      <c r="A101" s="150">
        <v>2.5</v>
      </c>
      <c r="B101" s="205" t="s">
        <v>17</v>
      </c>
      <c r="C101" s="40">
        <v>7.5</v>
      </c>
      <c r="D101" s="40">
        <v>3.0333839999999999</v>
      </c>
      <c r="E101" s="67">
        <v>2.305196161115977</v>
      </c>
      <c r="F101" s="67">
        <v>4</v>
      </c>
      <c r="G101" s="40">
        <v>1.6658599957815678</v>
      </c>
      <c r="H101" s="67">
        <v>0</v>
      </c>
      <c r="I101" s="40">
        <v>3.0340039999999999</v>
      </c>
      <c r="J101" s="67" t="s">
        <v>248</v>
      </c>
      <c r="K101" s="40">
        <v>5.1910749999999997</v>
      </c>
      <c r="L101" s="67">
        <v>8.2201851542875279E-2</v>
      </c>
      <c r="M101" s="67">
        <v>0.39730940507752605</v>
      </c>
      <c r="N101" s="67">
        <v>6.867953</v>
      </c>
      <c r="O101" s="67">
        <v>2.1858587056037804</v>
      </c>
      <c r="P101" s="67">
        <v>3.5502246085962628</v>
      </c>
      <c r="Q101" s="67">
        <v>1.1107282139451513</v>
      </c>
      <c r="R101" s="67">
        <v>0</v>
      </c>
      <c r="S101" s="67">
        <v>0</v>
      </c>
      <c r="T101" s="67">
        <v>3.2306070826306912</v>
      </c>
      <c r="U101" s="40">
        <v>1.918385</v>
      </c>
      <c r="V101" s="40">
        <v>4.9861645944909174</v>
      </c>
      <c r="W101" s="67">
        <v>6</v>
      </c>
      <c r="X101" s="40">
        <v>6.0178370000000001</v>
      </c>
      <c r="Y101" s="67">
        <v>0.49100624367507439</v>
      </c>
      <c r="Z101" s="40">
        <v>2.011173184357542</v>
      </c>
      <c r="AA101" s="40">
        <v>0</v>
      </c>
      <c r="AB101" s="40">
        <v>0.80522349999999998</v>
      </c>
      <c r="AC101" s="40" t="s">
        <v>248</v>
      </c>
      <c r="AD101" s="67">
        <v>2.9564270000000001</v>
      </c>
      <c r="AE101" s="67">
        <v>3</v>
      </c>
      <c r="AF101" s="67">
        <v>6.7122339999999996</v>
      </c>
      <c r="AG101" s="140"/>
      <c r="AH101" s="138">
        <v>1</v>
      </c>
      <c r="AI101" s="138">
        <v>0.16641100585494642</v>
      </c>
      <c r="AJ101" s="138">
        <v>1.581572</v>
      </c>
    </row>
    <row r="102" spans="1:248" ht="9.9499999999999993" customHeight="1">
      <c r="A102" s="150">
        <v>2.6</v>
      </c>
      <c r="B102" s="203" t="s">
        <v>18</v>
      </c>
      <c r="C102" s="40">
        <v>36</v>
      </c>
      <c r="D102" s="40">
        <v>20.52328</v>
      </c>
      <c r="E102" s="67">
        <v>15.783638912768167</v>
      </c>
      <c r="F102" s="67">
        <v>11.982072608757921</v>
      </c>
      <c r="G102" s="40">
        <v>22.418077966302516</v>
      </c>
      <c r="H102" s="67">
        <v>24.858371052141933</v>
      </c>
      <c r="I102" s="40">
        <v>22.795339999999999</v>
      </c>
      <c r="J102" s="67">
        <v>6.9751636117799753</v>
      </c>
      <c r="K102" s="40">
        <v>23.67305</v>
      </c>
      <c r="L102" s="67">
        <v>14.462170697631503</v>
      </c>
      <c r="M102" s="67">
        <v>20.847383770229623</v>
      </c>
      <c r="N102" s="67">
        <v>19.604679999999998</v>
      </c>
      <c r="O102" s="67">
        <v>22.864462363882282</v>
      </c>
      <c r="P102" s="67" t="s">
        <v>46</v>
      </c>
      <c r="Q102" s="67">
        <v>18.210871999160208</v>
      </c>
      <c r="R102" s="67">
        <v>27.825953226348297</v>
      </c>
      <c r="S102" s="67">
        <v>21.928414001213387</v>
      </c>
      <c r="T102" s="67">
        <v>28.037164353353223</v>
      </c>
      <c r="U102" s="40">
        <v>12.688829999999999</v>
      </c>
      <c r="V102" s="40">
        <v>21.786122915062101</v>
      </c>
      <c r="W102" s="67">
        <v>34</v>
      </c>
      <c r="X102" s="40">
        <v>24.53463</v>
      </c>
      <c r="Y102" s="67">
        <v>21.110416413921303</v>
      </c>
      <c r="Z102" s="40">
        <v>17.430167597765362</v>
      </c>
      <c r="AA102" s="40">
        <v>19.013203613620568</v>
      </c>
      <c r="AB102" s="40">
        <v>24.20429</v>
      </c>
      <c r="AC102" s="40">
        <v>27.01876302988186</v>
      </c>
      <c r="AD102" s="67">
        <v>12.354990000000001</v>
      </c>
      <c r="AE102" s="67">
        <v>22.810763527989891</v>
      </c>
      <c r="AF102" s="67">
        <v>31.909569999999999</v>
      </c>
      <c r="AG102" s="140"/>
      <c r="AH102" s="138">
        <v>18</v>
      </c>
      <c r="AI102" s="138">
        <v>6.283225015714768</v>
      </c>
      <c r="AJ102" s="138">
        <v>10.22983</v>
      </c>
    </row>
    <row r="103" spans="1:248" ht="9.9499999999999993" customHeight="1">
      <c r="A103" s="150">
        <v>2.7</v>
      </c>
      <c r="B103" s="203" t="s">
        <v>19</v>
      </c>
      <c r="C103" s="40" t="s">
        <v>248</v>
      </c>
      <c r="D103" s="40">
        <v>1.8385849999999999</v>
      </c>
      <c r="E103" s="67" t="s">
        <v>248</v>
      </c>
      <c r="F103" s="67" t="s">
        <v>248</v>
      </c>
      <c r="G103" s="40" t="s">
        <v>248</v>
      </c>
      <c r="H103" s="67" t="s">
        <v>248</v>
      </c>
      <c r="I103" s="40">
        <v>9.8470279999999999</v>
      </c>
      <c r="J103" s="67">
        <v>0.7635131669664672</v>
      </c>
      <c r="K103" s="40">
        <v>4.3636500000000007</v>
      </c>
      <c r="L103" s="67" t="s">
        <v>248</v>
      </c>
      <c r="M103" s="67" t="s">
        <v>248</v>
      </c>
      <c r="N103" s="67" t="s">
        <v>248</v>
      </c>
      <c r="O103" s="67">
        <v>0.10185687703964658</v>
      </c>
      <c r="P103" s="48" t="s">
        <v>248</v>
      </c>
      <c r="Q103" s="67" t="s">
        <v>248</v>
      </c>
      <c r="R103" s="67" t="s">
        <v>248</v>
      </c>
      <c r="S103" s="67" t="s">
        <v>248</v>
      </c>
      <c r="T103" s="67" t="s">
        <v>248</v>
      </c>
      <c r="U103" s="40" t="s">
        <v>248</v>
      </c>
      <c r="V103" s="40">
        <v>0.66401325082297236</v>
      </c>
      <c r="W103" s="67" t="s">
        <v>248</v>
      </c>
      <c r="X103" s="40">
        <v>22.459019999999999</v>
      </c>
      <c r="Y103" s="67" t="s">
        <v>248</v>
      </c>
      <c r="Z103" s="40" t="s">
        <v>248</v>
      </c>
      <c r="AA103" s="40" t="s">
        <v>248</v>
      </c>
      <c r="AB103" s="40">
        <v>16.6724</v>
      </c>
      <c r="AC103" s="40">
        <v>8.005559416261292</v>
      </c>
      <c r="AD103" s="67">
        <v>5.5640260000000001</v>
      </c>
      <c r="AE103" s="67" t="s">
        <v>248</v>
      </c>
      <c r="AF103" s="67">
        <v>2.844106</v>
      </c>
      <c r="AG103" s="140"/>
      <c r="AH103" s="138" t="s">
        <v>248</v>
      </c>
      <c r="AI103" s="138" t="s">
        <v>248</v>
      </c>
      <c r="AJ103" s="138">
        <v>12.59755</v>
      </c>
    </row>
    <row r="104" spans="1:248" s="149" customFormat="1" ht="9.9499999999999993" customHeight="1">
      <c r="A104" s="145">
        <v>3</v>
      </c>
      <c r="B104" s="204" t="s">
        <v>20</v>
      </c>
      <c r="C104" s="198">
        <v>666</v>
      </c>
      <c r="D104" s="198">
        <v>640.78496000000007</v>
      </c>
      <c r="E104" s="189">
        <v>677.39721737857042</v>
      </c>
      <c r="F104" s="189">
        <v>652.76109666101092</v>
      </c>
      <c r="G104" s="198">
        <v>673.37854405155133</v>
      </c>
      <c r="H104" s="189">
        <v>663.34558812438661</v>
      </c>
      <c r="I104" s="198">
        <v>650.72680000000003</v>
      </c>
      <c r="J104" s="189">
        <v>760.88806673622412</v>
      </c>
      <c r="K104" s="198">
        <v>658.66205000000002</v>
      </c>
      <c r="L104" s="189">
        <v>679.23137045909152</v>
      </c>
      <c r="M104" s="189">
        <v>679.27181516422581</v>
      </c>
      <c r="N104" s="189">
        <v>623.13238999999999</v>
      </c>
      <c r="O104" s="189">
        <v>705.327315056609</v>
      </c>
      <c r="P104" s="189">
        <v>628.478881475771</v>
      </c>
      <c r="Q104" s="189">
        <v>679.87680469376858</v>
      </c>
      <c r="R104" s="189">
        <v>643.69356534168719</v>
      </c>
      <c r="S104" s="189">
        <v>644.79766665686088</v>
      </c>
      <c r="T104" s="189">
        <v>694.01245297703986</v>
      </c>
      <c r="U104" s="198">
        <v>641.76292999999998</v>
      </c>
      <c r="V104" s="198">
        <v>696.6580496667965</v>
      </c>
      <c r="W104" s="189">
        <v>656</v>
      </c>
      <c r="X104" s="198">
        <v>641.81551999999999</v>
      </c>
      <c r="Y104" s="189">
        <v>666.81374948793905</v>
      </c>
      <c r="Z104" s="198">
        <v>673.74301675977654</v>
      </c>
      <c r="AA104" s="198">
        <v>630.43780403057679</v>
      </c>
      <c r="AB104" s="198">
        <v>686.55228</v>
      </c>
      <c r="AC104" s="198">
        <v>633.43988881167479</v>
      </c>
      <c r="AD104" s="189">
        <v>684.50614000000007</v>
      </c>
      <c r="AE104" s="189">
        <v>655.42715207255912</v>
      </c>
      <c r="AF104" s="189">
        <v>667.41170999999997</v>
      </c>
      <c r="AG104" s="140"/>
      <c r="AH104" s="147">
        <v>692</v>
      </c>
      <c r="AI104" s="147">
        <v>669.86036688275237</v>
      </c>
      <c r="AJ104" s="147">
        <v>694.82945999999993</v>
      </c>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c r="BT104" s="86"/>
      <c r="BU104" s="86"/>
      <c r="BV104" s="86"/>
      <c r="BW104" s="86"/>
      <c r="BX104" s="86"/>
      <c r="BY104" s="86"/>
      <c r="BZ104" s="86"/>
      <c r="CA104" s="86"/>
      <c r="CB104" s="86"/>
      <c r="CC104" s="86"/>
      <c r="CD104" s="86"/>
      <c r="CE104" s="86"/>
      <c r="CF104" s="86"/>
      <c r="CG104" s="86"/>
      <c r="CH104" s="86"/>
      <c r="CI104" s="86"/>
      <c r="CJ104" s="86"/>
      <c r="CK104" s="86"/>
      <c r="CL104" s="86"/>
      <c r="CM104" s="86"/>
      <c r="CN104" s="86"/>
      <c r="CO104" s="86"/>
      <c r="CP104" s="86"/>
      <c r="CQ104" s="86"/>
      <c r="CR104" s="86"/>
      <c r="CS104" s="86"/>
      <c r="CT104" s="86"/>
      <c r="CU104" s="86"/>
      <c r="CV104" s="86"/>
      <c r="CW104" s="86"/>
      <c r="CX104" s="86"/>
      <c r="CY104" s="86"/>
      <c r="CZ104" s="86"/>
      <c r="DA104" s="86"/>
      <c r="DB104" s="86"/>
      <c r="DC104" s="86"/>
      <c r="DD104" s="86"/>
      <c r="DE104" s="86"/>
      <c r="DF104" s="86"/>
      <c r="DG104" s="86"/>
      <c r="DH104" s="86"/>
      <c r="DI104" s="86"/>
      <c r="DJ104" s="86"/>
      <c r="DK104" s="86"/>
      <c r="DL104" s="86"/>
      <c r="DM104" s="86"/>
      <c r="DN104" s="86"/>
      <c r="DO104" s="86"/>
      <c r="DP104" s="86"/>
      <c r="DQ104" s="86"/>
      <c r="DR104" s="86"/>
      <c r="DS104" s="86"/>
      <c r="DT104" s="86"/>
      <c r="DU104" s="86"/>
      <c r="DV104" s="86"/>
      <c r="DW104" s="86"/>
      <c r="DX104" s="86"/>
      <c r="DY104" s="86"/>
      <c r="DZ104" s="86"/>
      <c r="EA104" s="86"/>
      <c r="EB104" s="86"/>
      <c r="EC104" s="86"/>
      <c r="ED104" s="86"/>
      <c r="EE104" s="86"/>
      <c r="EF104" s="86"/>
      <c r="EG104" s="86"/>
      <c r="EH104" s="86"/>
      <c r="EI104" s="86"/>
      <c r="EJ104" s="86"/>
      <c r="EK104" s="86"/>
      <c r="EL104" s="86"/>
      <c r="EM104" s="86"/>
      <c r="EN104" s="86"/>
      <c r="EO104" s="86"/>
      <c r="EP104" s="86"/>
      <c r="EQ104" s="86"/>
      <c r="ER104" s="86"/>
      <c r="ES104" s="86"/>
      <c r="ET104" s="86"/>
      <c r="EU104" s="86"/>
      <c r="EV104" s="86"/>
      <c r="EW104" s="86"/>
      <c r="EX104" s="86"/>
      <c r="EY104" s="86"/>
      <c r="EZ104" s="86"/>
      <c r="FA104" s="86"/>
      <c r="FB104" s="86"/>
      <c r="FC104" s="86"/>
      <c r="FD104" s="86"/>
      <c r="FE104" s="86"/>
      <c r="FF104" s="86"/>
      <c r="FG104" s="86"/>
      <c r="FH104" s="86"/>
      <c r="FI104" s="86"/>
      <c r="FJ104" s="86"/>
      <c r="FK104" s="86"/>
      <c r="FL104" s="86"/>
      <c r="FM104" s="86"/>
      <c r="FN104" s="86"/>
      <c r="FO104" s="86"/>
      <c r="FP104" s="86"/>
      <c r="FQ104" s="86"/>
      <c r="FR104" s="86"/>
      <c r="FS104" s="86"/>
      <c r="FT104" s="86"/>
      <c r="FU104" s="86"/>
      <c r="FV104" s="86"/>
      <c r="FW104" s="86"/>
      <c r="FX104" s="86"/>
      <c r="FY104" s="86"/>
      <c r="FZ104" s="86"/>
      <c r="GA104" s="86"/>
      <c r="GB104" s="86"/>
      <c r="GC104" s="86"/>
      <c r="GD104" s="86"/>
      <c r="GE104" s="86"/>
      <c r="GF104" s="86"/>
      <c r="GG104" s="86"/>
      <c r="GH104" s="86"/>
      <c r="GI104" s="86"/>
      <c r="GJ104" s="86"/>
      <c r="GK104" s="86"/>
      <c r="GL104" s="86"/>
      <c r="GM104" s="86"/>
      <c r="GN104" s="86"/>
      <c r="GO104" s="86"/>
      <c r="GP104" s="86"/>
      <c r="GQ104" s="86"/>
      <c r="GR104" s="86"/>
      <c r="GS104" s="86"/>
      <c r="GT104" s="86"/>
      <c r="GU104" s="86"/>
      <c r="GV104" s="86"/>
      <c r="GW104" s="86"/>
      <c r="GX104" s="86"/>
      <c r="GY104" s="86"/>
      <c r="GZ104" s="86"/>
      <c r="HA104" s="86"/>
      <c r="HB104" s="86"/>
      <c r="HC104" s="86"/>
      <c r="HD104" s="86"/>
      <c r="HE104" s="86"/>
      <c r="HF104" s="86"/>
      <c r="HG104" s="86"/>
      <c r="HH104" s="86"/>
      <c r="HI104" s="86"/>
      <c r="HJ104" s="86"/>
      <c r="HK104" s="86"/>
      <c r="HL104" s="86"/>
      <c r="HM104" s="86"/>
      <c r="HN104" s="86"/>
      <c r="HO104" s="86"/>
      <c r="HP104" s="86"/>
      <c r="HQ104" s="86"/>
      <c r="HR104" s="86"/>
      <c r="HS104" s="86"/>
      <c r="HT104" s="86"/>
      <c r="HU104" s="86"/>
      <c r="HV104" s="86"/>
      <c r="HW104" s="86"/>
      <c r="HX104" s="86"/>
      <c r="HY104" s="86"/>
      <c r="HZ104" s="86"/>
      <c r="IA104" s="86"/>
      <c r="IB104" s="86"/>
      <c r="IC104" s="86"/>
      <c r="ID104" s="86"/>
      <c r="IE104" s="86"/>
      <c r="IF104" s="86"/>
      <c r="IG104" s="86"/>
      <c r="IH104" s="86"/>
      <c r="II104" s="86"/>
      <c r="IJ104" s="86"/>
      <c r="IK104" s="86"/>
      <c r="IL104" s="86"/>
      <c r="IM104" s="86"/>
      <c r="IN104" s="86"/>
    </row>
    <row r="105" spans="1:248" ht="9.9499999999999993" customHeight="1">
      <c r="A105" s="150">
        <v>3.1</v>
      </c>
      <c r="B105" s="202" t="s">
        <v>21</v>
      </c>
      <c r="C105" s="40">
        <v>514</v>
      </c>
      <c r="D105" s="40">
        <v>501.35329999999999</v>
      </c>
      <c r="E105" s="67">
        <v>519.24742497010186</v>
      </c>
      <c r="F105" s="67">
        <v>526.71955649326742</v>
      </c>
      <c r="G105" s="40">
        <v>496.52949144005203</v>
      </c>
      <c r="H105" s="67">
        <v>527.83766378534449</v>
      </c>
      <c r="I105" s="40">
        <v>511.53750000000002</v>
      </c>
      <c r="J105" s="67">
        <v>516.46614529838473</v>
      </c>
      <c r="K105" s="40">
        <v>502.90949999999998</v>
      </c>
      <c r="L105" s="67">
        <v>498.00384402140764</v>
      </c>
      <c r="M105" s="67">
        <v>508.45127871475154</v>
      </c>
      <c r="N105" s="67">
        <v>500.65100000000001</v>
      </c>
      <c r="O105" s="67">
        <v>512.35072045708375</v>
      </c>
      <c r="P105" s="67">
        <v>438.04162568778077</v>
      </c>
      <c r="Q105" s="67">
        <v>471.22712654605806</v>
      </c>
      <c r="R105" s="67">
        <v>515.45215309058938</v>
      </c>
      <c r="S105" s="67">
        <v>504.0151128732935</v>
      </c>
      <c r="T105" s="67">
        <v>520.19204825528607</v>
      </c>
      <c r="U105" s="40">
        <v>500.35789999999997</v>
      </c>
      <c r="V105" s="40">
        <v>509.35365126189106</v>
      </c>
      <c r="W105" s="67">
        <v>529</v>
      </c>
      <c r="X105" s="40">
        <v>501.1259</v>
      </c>
      <c r="Y105" s="67">
        <v>513.5188901202232</v>
      </c>
      <c r="Z105" s="40">
        <v>507.82122905027938</v>
      </c>
      <c r="AA105" s="40">
        <v>504.35024322446139</v>
      </c>
      <c r="AB105" s="40">
        <v>511.10039999999998</v>
      </c>
      <c r="AC105" s="40">
        <v>483.33564975677552</v>
      </c>
      <c r="AD105" s="67">
        <v>518.01980000000003</v>
      </c>
      <c r="AE105" s="67">
        <v>511.74504166764785</v>
      </c>
      <c r="AF105" s="67">
        <v>537.90750000000003</v>
      </c>
      <c r="AG105" s="140"/>
      <c r="AH105" s="138">
        <v>544</v>
      </c>
      <c r="AI105" s="138">
        <v>520.91666886575854</v>
      </c>
      <c r="AJ105" s="138">
        <v>556.59889999999996</v>
      </c>
    </row>
    <row r="106" spans="1:248" ht="9.9499999999999993" customHeight="1">
      <c r="A106" s="150">
        <v>3.2</v>
      </c>
      <c r="B106" s="203" t="s">
        <v>22</v>
      </c>
      <c r="C106" s="40">
        <v>91</v>
      </c>
      <c r="D106" s="40">
        <v>81.003410000000002</v>
      </c>
      <c r="E106" s="67">
        <v>101.28596458876265</v>
      </c>
      <c r="F106" s="67">
        <v>64.584258734802503</v>
      </c>
      <c r="G106" s="40">
        <v>120.26470620876209</v>
      </c>
      <c r="H106" s="67">
        <v>76.847403021474804</v>
      </c>
      <c r="I106" s="40">
        <v>81.036709999999999</v>
      </c>
      <c r="J106" s="67">
        <v>131.31381151731554</v>
      </c>
      <c r="K106" s="40">
        <v>96.549516666666662</v>
      </c>
      <c r="L106" s="67">
        <v>121.51797256245685</v>
      </c>
      <c r="M106" s="67">
        <v>96.935229545210646</v>
      </c>
      <c r="N106" s="67">
        <v>74.676439999999999</v>
      </c>
      <c r="O106" s="67">
        <v>124.99706527923414</v>
      </c>
      <c r="P106" s="67">
        <v>94.764307168868456</v>
      </c>
      <c r="Q106" s="67">
        <v>114.76459054704344</v>
      </c>
      <c r="R106" s="67">
        <v>84.887406581411838</v>
      </c>
      <c r="S106" s="67">
        <v>85.085569299893564</v>
      </c>
      <c r="T106" s="67">
        <v>113.40877545725776</v>
      </c>
      <c r="U106" s="40">
        <v>78.183850000000007</v>
      </c>
      <c r="V106" s="40">
        <v>116.55606590916524</v>
      </c>
      <c r="W106" s="67">
        <v>80</v>
      </c>
      <c r="X106" s="40">
        <v>77.485560000000007</v>
      </c>
      <c r="Y106" s="67">
        <v>91.60702101743685</v>
      </c>
      <c r="Z106" s="40">
        <v>107.59776536312849</v>
      </c>
      <c r="AA106" s="40">
        <v>83.057678943710911</v>
      </c>
      <c r="AB106" s="40">
        <v>122.5522</v>
      </c>
      <c r="AC106" s="40">
        <v>85.059068797776234</v>
      </c>
      <c r="AD106" s="67">
        <v>119.53570000000001</v>
      </c>
      <c r="AE106" s="67">
        <v>78.49849104723917</v>
      </c>
      <c r="AF106" s="67">
        <v>61.54271</v>
      </c>
      <c r="AG106" s="140"/>
      <c r="AH106" s="138">
        <v>96</v>
      </c>
      <c r="AI106" s="138">
        <v>79.950084074333091</v>
      </c>
      <c r="AJ106" s="138">
        <v>68.920749999999998</v>
      </c>
    </row>
    <row r="107" spans="1:248" ht="9.9499999999999993" customHeight="1">
      <c r="A107" s="150">
        <v>3.3</v>
      </c>
      <c r="B107" s="203" t="s">
        <v>23</v>
      </c>
      <c r="C107" s="40">
        <v>61</v>
      </c>
      <c r="D107" s="40">
        <v>58.428249999999998</v>
      </c>
      <c r="E107" s="67">
        <v>56.863827819705868</v>
      </c>
      <c r="F107" s="67">
        <v>61.457281432940889</v>
      </c>
      <c r="G107" s="40">
        <v>56.584346402737218</v>
      </c>
      <c r="H107" s="67">
        <v>58.660521317567301</v>
      </c>
      <c r="I107" s="40">
        <v>58.152589999999996</v>
      </c>
      <c r="J107" s="67">
        <v>113.10810992052379</v>
      </c>
      <c r="K107" s="40">
        <v>59.20303333333333</v>
      </c>
      <c r="L107" s="67">
        <v>59.709553875227037</v>
      </c>
      <c r="M107" s="67">
        <v>73.88530690426353</v>
      </c>
      <c r="N107" s="67">
        <v>47.804949999999998</v>
      </c>
      <c r="O107" s="67">
        <v>67.979529320291135</v>
      </c>
      <c r="P107" s="67">
        <v>95.672948619122295</v>
      </c>
      <c r="Q107" s="67">
        <v>93.885087600667177</v>
      </c>
      <c r="R107" s="67">
        <v>43.354005669686018</v>
      </c>
      <c r="S107" s="67">
        <v>55.696984483673731</v>
      </c>
      <c r="T107" s="67">
        <v>60.411629264496042</v>
      </c>
      <c r="U107" s="40">
        <v>63.221179999999997</v>
      </c>
      <c r="V107" s="40">
        <v>70.748332495740172</v>
      </c>
      <c r="W107" s="67">
        <v>47</v>
      </c>
      <c r="X107" s="40">
        <v>63.204059999999998</v>
      </c>
      <c r="Y107" s="67">
        <v>61.687838350278938</v>
      </c>
      <c r="Z107" s="40">
        <v>58.324022346368714</v>
      </c>
      <c r="AA107" s="40">
        <v>43.029881862404444</v>
      </c>
      <c r="AB107" s="40">
        <v>52.899679999999996</v>
      </c>
      <c r="AC107" s="40">
        <v>65.045170257123004</v>
      </c>
      <c r="AD107" s="67">
        <v>46.95064</v>
      </c>
      <c r="AE107" s="67">
        <v>65.1836193576721</v>
      </c>
      <c r="AF107" s="67">
        <v>67.961500000000001</v>
      </c>
      <c r="AG107" s="140"/>
      <c r="AH107" s="138">
        <v>51.999999999999993</v>
      </c>
      <c r="AI107" s="138">
        <v>68.993613942660716</v>
      </c>
      <c r="AJ107" s="138">
        <v>69.309809999999999</v>
      </c>
    </row>
    <row r="108" spans="1:248" s="149" customFormat="1" ht="9.9499999999999993" customHeight="1">
      <c r="A108" s="145">
        <v>4</v>
      </c>
      <c r="B108" s="204" t="s">
        <v>24</v>
      </c>
      <c r="C108" s="198">
        <v>269</v>
      </c>
      <c r="D108" s="198">
        <v>274.27513599999997</v>
      </c>
      <c r="E108" s="189">
        <v>316.70665242045487</v>
      </c>
      <c r="F108" s="189">
        <v>259.66452857907461</v>
      </c>
      <c r="G108" s="198">
        <v>319.61254445197494</v>
      </c>
      <c r="H108" s="189">
        <v>277.80949435540822</v>
      </c>
      <c r="I108" s="198">
        <v>303.60413599999998</v>
      </c>
      <c r="J108" s="189">
        <v>269.74337965874224</v>
      </c>
      <c r="K108" s="198">
        <v>315.76833166666671</v>
      </c>
      <c r="L108" s="189">
        <v>310.60395229526705</v>
      </c>
      <c r="M108" s="189">
        <v>256.84115687738944</v>
      </c>
      <c r="N108" s="189">
        <v>286.98392000000001</v>
      </c>
      <c r="O108" s="189">
        <v>280.92225367741901</v>
      </c>
      <c r="P108" s="189">
        <v>251.51104436352</v>
      </c>
      <c r="Q108" s="189">
        <v>243.97131854353154</v>
      </c>
      <c r="R108" s="189">
        <v>249.248179830482</v>
      </c>
      <c r="S108" s="189">
        <v>215.29885787094165</v>
      </c>
      <c r="T108" s="189">
        <v>253.02321961343881</v>
      </c>
      <c r="U108" s="198">
        <v>159.11085199999999</v>
      </c>
      <c r="V108" s="198">
        <v>300.22304575042892</v>
      </c>
      <c r="W108" s="189">
        <v>295</v>
      </c>
      <c r="X108" s="198">
        <v>365.84819900000002</v>
      </c>
      <c r="Y108" s="189">
        <v>262.41089071719762</v>
      </c>
      <c r="Z108" s="198">
        <v>199.77653631284915</v>
      </c>
      <c r="AA108" s="198">
        <v>283.19666435024322</v>
      </c>
      <c r="AB108" s="198">
        <v>283.995586</v>
      </c>
      <c r="AC108" s="198">
        <v>306.21264767199443</v>
      </c>
      <c r="AD108" s="189">
        <v>270.44737600000002</v>
      </c>
      <c r="AE108" s="189">
        <v>284.67795888641001</v>
      </c>
      <c r="AF108" s="189">
        <v>265.77471800000001</v>
      </c>
      <c r="AG108" s="140"/>
      <c r="AH108" s="147">
        <v>211</v>
      </c>
      <c r="AI108" s="147">
        <v>220.94849366325897</v>
      </c>
      <c r="AJ108" s="147">
        <v>281.84986400000003</v>
      </c>
      <c r="AK108" s="86"/>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c r="BL108" s="86"/>
      <c r="BM108" s="86"/>
      <c r="BN108" s="86"/>
      <c r="BO108" s="86"/>
      <c r="BP108" s="86"/>
      <c r="BQ108" s="86"/>
      <c r="BR108" s="86"/>
      <c r="BS108" s="86"/>
      <c r="BT108" s="86"/>
      <c r="BU108" s="86"/>
      <c r="BV108" s="86"/>
      <c r="BW108" s="86"/>
      <c r="BX108" s="86"/>
      <c r="BY108" s="86"/>
      <c r="BZ108" s="86"/>
      <c r="CA108" s="86"/>
      <c r="CB108" s="86"/>
      <c r="CC108" s="86"/>
      <c r="CD108" s="86"/>
      <c r="CE108" s="86"/>
      <c r="CF108" s="86"/>
      <c r="CG108" s="86"/>
      <c r="CH108" s="86"/>
      <c r="CI108" s="86"/>
      <c r="CJ108" s="86"/>
      <c r="CK108" s="86"/>
      <c r="CL108" s="86"/>
      <c r="CM108" s="86"/>
      <c r="CN108" s="86"/>
      <c r="CO108" s="86"/>
      <c r="CP108" s="86"/>
      <c r="CQ108" s="86"/>
      <c r="CR108" s="86"/>
      <c r="CS108" s="86"/>
      <c r="CT108" s="86"/>
      <c r="CU108" s="86"/>
      <c r="CV108" s="86"/>
      <c r="CW108" s="86"/>
      <c r="CX108" s="86"/>
      <c r="CY108" s="86"/>
      <c r="CZ108" s="86"/>
      <c r="DA108" s="86"/>
      <c r="DB108" s="86"/>
      <c r="DC108" s="86"/>
      <c r="DD108" s="86"/>
      <c r="DE108" s="86"/>
      <c r="DF108" s="86"/>
      <c r="DG108" s="86"/>
      <c r="DH108" s="86"/>
      <c r="DI108" s="86"/>
      <c r="DJ108" s="86"/>
      <c r="DK108" s="86"/>
      <c r="DL108" s="86"/>
      <c r="DM108" s="86"/>
      <c r="DN108" s="86"/>
      <c r="DO108" s="86"/>
      <c r="DP108" s="86"/>
      <c r="DQ108" s="86"/>
      <c r="DR108" s="86"/>
      <c r="DS108" s="86"/>
      <c r="DT108" s="86"/>
      <c r="DU108" s="86"/>
      <c r="DV108" s="86"/>
      <c r="DW108" s="86"/>
      <c r="DX108" s="86"/>
      <c r="DY108" s="86"/>
      <c r="DZ108" s="86"/>
      <c r="EA108" s="86"/>
      <c r="EB108" s="86"/>
      <c r="EC108" s="86"/>
      <c r="ED108" s="86"/>
      <c r="EE108" s="86"/>
      <c r="EF108" s="86"/>
      <c r="EG108" s="86"/>
      <c r="EH108" s="86"/>
      <c r="EI108" s="86"/>
      <c r="EJ108" s="86"/>
      <c r="EK108" s="86"/>
      <c r="EL108" s="86"/>
      <c r="EM108" s="86"/>
      <c r="EN108" s="86"/>
      <c r="EO108" s="86"/>
      <c r="EP108" s="86"/>
      <c r="EQ108" s="86"/>
      <c r="ER108" s="86"/>
      <c r="ES108" s="86"/>
      <c r="ET108" s="86"/>
      <c r="EU108" s="86"/>
      <c r="EV108" s="86"/>
      <c r="EW108" s="86"/>
      <c r="EX108" s="86"/>
      <c r="EY108" s="86"/>
      <c r="EZ108" s="86"/>
      <c r="FA108" s="86"/>
      <c r="FB108" s="86"/>
      <c r="FC108" s="86"/>
      <c r="FD108" s="86"/>
      <c r="FE108" s="86"/>
      <c r="FF108" s="86"/>
      <c r="FG108" s="86"/>
      <c r="FH108" s="86"/>
      <c r="FI108" s="86"/>
      <c r="FJ108" s="86"/>
      <c r="FK108" s="86"/>
      <c r="FL108" s="86"/>
      <c r="FM108" s="86"/>
      <c r="FN108" s="86"/>
      <c r="FO108" s="86"/>
      <c r="FP108" s="86"/>
      <c r="FQ108" s="86"/>
      <c r="FR108" s="86"/>
      <c r="FS108" s="86"/>
      <c r="FT108" s="86"/>
      <c r="FU108" s="86"/>
      <c r="FV108" s="86"/>
      <c r="FW108" s="86"/>
      <c r="FX108" s="86"/>
      <c r="FY108" s="86"/>
      <c r="FZ108" s="86"/>
      <c r="GA108" s="86"/>
      <c r="GB108" s="86"/>
      <c r="GC108" s="86"/>
      <c r="GD108" s="86"/>
      <c r="GE108" s="86"/>
      <c r="GF108" s="86"/>
      <c r="GG108" s="86"/>
      <c r="GH108" s="86"/>
      <c r="GI108" s="86"/>
      <c r="GJ108" s="86"/>
      <c r="GK108" s="86"/>
      <c r="GL108" s="86"/>
      <c r="GM108" s="86"/>
      <c r="GN108" s="86"/>
      <c r="GO108" s="86"/>
      <c r="GP108" s="86"/>
      <c r="GQ108" s="86"/>
      <c r="GR108" s="86"/>
      <c r="GS108" s="86"/>
      <c r="GT108" s="86"/>
      <c r="GU108" s="86"/>
      <c r="GV108" s="86"/>
      <c r="GW108" s="86"/>
      <c r="GX108" s="86"/>
      <c r="GY108" s="86"/>
      <c r="GZ108" s="86"/>
      <c r="HA108" s="86"/>
      <c r="HB108" s="86"/>
      <c r="HC108" s="86"/>
      <c r="HD108" s="86"/>
      <c r="HE108" s="86"/>
      <c r="HF108" s="86"/>
      <c r="HG108" s="86"/>
      <c r="HH108" s="86"/>
      <c r="HI108" s="86"/>
      <c r="HJ108" s="86"/>
      <c r="HK108" s="86"/>
      <c r="HL108" s="86"/>
      <c r="HM108" s="86"/>
      <c r="HN108" s="86"/>
      <c r="HO108" s="86"/>
      <c r="HP108" s="86"/>
      <c r="HQ108" s="86"/>
      <c r="HR108" s="86"/>
      <c r="HS108" s="86"/>
      <c r="HT108" s="86"/>
      <c r="HU108" s="86"/>
      <c r="HV108" s="86"/>
      <c r="HW108" s="86"/>
      <c r="HX108" s="86"/>
      <c r="HY108" s="86"/>
      <c r="HZ108" s="86"/>
      <c r="IA108" s="86"/>
      <c r="IB108" s="86"/>
      <c r="IC108" s="86"/>
      <c r="ID108" s="86"/>
      <c r="IE108" s="86"/>
      <c r="IF108" s="86"/>
      <c r="IG108" s="86"/>
      <c r="IH108" s="86"/>
      <c r="II108" s="86"/>
      <c r="IJ108" s="86"/>
      <c r="IK108" s="86"/>
      <c r="IL108" s="86"/>
      <c r="IM108" s="86"/>
      <c r="IN108" s="86"/>
    </row>
    <row r="109" spans="1:248" ht="9.9499999999999993" customHeight="1">
      <c r="A109" s="150">
        <v>4.0999999999999996</v>
      </c>
      <c r="B109" s="205" t="s">
        <v>25</v>
      </c>
      <c r="C109" s="40">
        <v>16</v>
      </c>
      <c r="D109" s="40">
        <v>30.01925</v>
      </c>
      <c r="E109" s="67">
        <v>16.012503220312784</v>
      </c>
      <c r="F109" s="67">
        <v>16.523755454586826</v>
      </c>
      <c r="G109" s="40">
        <v>19.935430509102254</v>
      </c>
      <c r="H109" s="67">
        <v>22.720845329953427</v>
      </c>
      <c r="I109" s="40">
        <v>35.353200000000001</v>
      </c>
      <c r="J109" s="67">
        <v>7.2194666332073858</v>
      </c>
      <c r="K109" s="40">
        <v>24.520500000000002</v>
      </c>
      <c r="L109" s="67">
        <v>22.597657550305293</v>
      </c>
      <c r="M109" s="67">
        <v>9.8618484178113732</v>
      </c>
      <c r="N109" s="67">
        <v>17.276789999999998</v>
      </c>
      <c r="O109" s="67">
        <v>32.730560759865092</v>
      </c>
      <c r="P109" s="67">
        <v>7.0791047553228248</v>
      </c>
      <c r="Q109" s="67">
        <v>22.96223193495258</v>
      </c>
      <c r="R109" s="67">
        <v>20.429071499167261</v>
      </c>
      <c r="S109" s="67">
        <v>12.718760892894629</v>
      </c>
      <c r="T109" s="67">
        <v>28.077766247243488</v>
      </c>
      <c r="U109" s="40">
        <v>9.6667729999999992</v>
      </c>
      <c r="V109" s="40">
        <v>20.276910797814921</v>
      </c>
      <c r="W109" s="67">
        <v>15</v>
      </c>
      <c r="X109" s="40">
        <v>20.824909999999999</v>
      </c>
      <c r="Y109" s="67">
        <v>21.102630159918338</v>
      </c>
      <c r="Z109" s="40">
        <v>6.033519553072626</v>
      </c>
      <c r="AA109" s="40">
        <v>28.019457956914525</v>
      </c>
      <c r="AB109" s="40">
        <v>36.910620000000002</v>
      </c>
      <c r="AC109" s="40">
        <v>33.022932592077829</v>
      </c>
      <c r="AD109" s="67">
        <v>5.4757540000000002</v>
      </c>
      <c r="AE109" s="67">
        <v>15.505492197926721</v>
      </c>
      <c r="AF109" s="67">
        <v>14.20614</v>
      </c>
      <c r="AG109" s="140"/>
      <c r="AH109" s="138">
        <v>22</v>
      </c>
      <c r="AI109" s="138">
        <v>1.382403540189286</v>
      </c>
      <c r="AJ109" s="138">
        <v>1.6328819999999999</v>
      </c>
    </row>
    <row r="110" spans="1:248" ht="9.9499999999999993" customHeight="1">
      <c r="A110" s="150">
        <v>4.2</v>
      </c>
      <c r="B110" s="203" t="s">
        <v>26</v>
      </c>
      <c r="C110" s="40">
        <v>6</v>
      </c>
      <c r="D110" s="40">
        <v>8.9077760000000001</v>
      </c>
      <c r="E110" s="67">
        <v>13.242913006809435</v>
      </c>
      <c r="F110" s="67">
        <v>5.6997505518543949</v>
      </c>
      <c r="G110" s="40">
        <v>7.8288943923415024</v>
      </c>
      <c r="H110" s="67">
        <v>8.2835845715449512</v>
      </c>
      <c r="I110" s="40">
        <v>8.3775259999999996</v>
      </c>
      <c r="J110" s="67">
        <v>13.830911213086168</v>
      </c>
      <c r="K110" s="40">
        <v>13.994531666666667</v>
      </c>
      <c r="L110" s="67">
        <v>5.7186754987796737</v>
      </c>
      <c r="M110" s="67">
        <v>5.8457465667229069</v>
      </c>
      <c r="N110" s="67">
        <v>33.737470000000002</v>
      </c>
      <c r="O110" s="67">
        <v>5.1456461731738905</v>
      </c>
      <c r="P110" s="67" t="s">
        <v>248</v>
      </c>
      <c r="Q110" s="67">
        <v>5.0041318882577466</v>
      </c>
      <c r="R110" s="67">
        <v>4.4726838122604198</v>
      </c>
      <c r="S110" s="67">
        <v>1.731767625451196</v>
      </c>
      <c r="T110" s="67">
        <v>12.568394084835905</v>
      </c>
      <c r="U110" s="40">
        <v>6.330419</v>
      </c>
      <c r="V110" s="40">
        <v>7.0248530484921821</v>
      </c>
      <c r="W110" s="67">
        <v>7</v>
      </c>
      <c r="X110" s="40">
        <v>8.5761690000000002</v>
      </c>
      <c r="Y110" s="67">
        <v>2.7968603982255322</v>
      </c>
      <c r="Z110" s="40">
        <v>9.050279329608939</v>
      </c>
      <c r="AA110" s="40">
        <v>4.002779708130646</v>
      </c>
      <c r="AB110" s="40">
        <v>8.4045459999999999</v>
      </c>
      <c r="AC110" s="40">
        <v>8.005559416261292</v>
      </c>
      <c r="AD110" s="67">
        <v>2.2064219999999999</v>
      </c>
      <c r="AE110" s="67">
        <v>7.6630509596293033</v>
      </c>
      <c r="AF110" s="67">
        <v>7.4089479999999996</v>
      </c>
      <c r="AG110" s="140"/>
      <c r="AH110" s="138">
        <v>2</v>
      </c>
      <c r="AI110" s="138">
        <v>3.3635429294838408</v>
      </c>
      <c r="AJ110" s="138">
        <v>4.5872419999999998</v>
      </c>
    </row>
    <row r="111" spans="1:248" ht="9.9499999999999993" customHeight="1">
      <c r="A111" s="150">
        <v>4.3</v>
      </c>
      <c r="B111" s="202" t="s">
        <v>27</v>
      </c>
      <c r="C111" s="40">
        <f>10+36</f>
        <v>46</v>
      </c>
      <c r="D111" s="40">
        <v>82.644869999999997</v>
      </c>
      <c r="E111" s="67">
        <v>53.989413238671943</v>
      </c>
      <c r="F111" s="67">
        <v>53.938675939768515</v>
      </c>
      <c r="G111" s="40">
        <v>87.451167879874333</v>
      </c>
      <c r="H111" s="67">
        <v>39.715519617481029</v>
      </c>
      <c r="I111" s="40">
        <v>59.555340000000001</v>
      </c>
      <c r="J111" s="67">
        <v>58.05845509221033</v>
      </c>
      <c r="K111" s="40">
        <v>63.219650000000001</v>
      </c>
      <c r="L111" s="67">
        <v>54.738074156978584</v>
      </c>
      <c r="M111" s="67">
        <v>33.857902436343338</v>
      </c>
      <c r="N111" s="67">
        <v>54.817540000000001</v>
      </c>
      <c r="O111" s="67">
        <v>57.822766851625943</v>
      </c>
      <c r="P111" s="67">
        <v>18.8651285186465</v>
      </c>
      <c r="Q111" s="67">
        <v>46.344236117724662</v>
      </c>
      <c r="R111" s="67">
        <v>35.18567963548</v>
      </c>
      <c r="S111" s="67">
        <v>31.565779520381497</v>
      </c>
      <c r="T111" s="67">
        <v>33.902743546504084</v>
      </c>
      <c r="U111" s="40">
        <v>47.630879999999998</v>
      </c>
      <c r="V111" s="40">
        <v>77.113209488493254</v>
      </c>
      <c r="W111" s="67">
        <v>77</v>
      </c>
      <c r="X111" s="40">
        <v>68.73312</v>
      </c>
      <c r="Y111" s="67">
        <v>44.992931828728175</v>
      </c>
      <c r="Z111" s="40">
        <v>35.195530726256983</v>
      </c>
      <c r="AA111" s="40">
        <v>61.042390548992351</v>
      </c>
      <c r="AB111" s="40">
        <v>48.576279999999997</v>
      </c>
      <c r="AC111" s="40">
        <v>56.038915913829051</v>
      </c>
      <c r="AD111" s="67">
        <v>72.276910000000001</v>
      </c>
      <c r="AE111" s="67">
        <v>52.682351806029516</v>
      </c>
      <c r="AF111" s="67">
        <v>44.890009999999997</v>
      </c>
      <c r="AG111" s="140"/>
      <c r="AH111" s="138">
        <v>24</v>
      </c>
      <c r="AI111" s="138">
        <v>63.786493900199432</v>
      </c>
      <c r="AJ111" s="138">
        <v>74.082300000000004</v>
      </c>
    </row>
    <row r="112" spans="1:248" ht="9.9499999999999993" customHeight="1">
      <c r="A112" s="150">
        <v>4.4000000000000004</v>
      </c>
      <c r="B112" s="202" t="s">
        <v>28</v>
      </c>
      <c r="C112" s="40">
        <v>122.99999999999999</v>
      </c>
      <c r="D112" s="40">
        <v>100.5009</v>
      </c>
      <c r="E112" s="67">
        <v>122.00778922476562</v>
      </c>
      <c r="F112" s="67">
        <v>100.21170651389396</v>
      </c>
      <c r="G112" s="40">
        <v>114.7537879426215</v>
      </c>
      <c r="H112" s="67">
        <v>107.01054392338077</v>
      </c>
      <c r="I112" s="40">
        <v>100.8372</v>
      </c>
      <c r="J112" s="67">
        <v>103.57450908434755</v>
      </c>
      <c r="K112" s="40">
        <v>111.03533333333333</v>
      </c>
      <c r="L112" s="67">
        <v>125.5826867431479</v>
      </c>
      <c r="M112" s="67">
        <v>122.736300207916</v>
      </c>
      <c r="N112" s="67">
        <v>75.779719999999998</v>
      </c>
      <c r="O112" s="67">
        <v>90.276009796563685</v>
      </c>
      <c r="P112" s="67">
        <v>97.450758884665476</v>
      </c>
      <c r="Q112" s="67">
        <v>102.75396680009787</v>
      </c>
      <c r="R112" s="67">
        <v>108.37383838177544</v>
      </c>
      <c r="S112" s="67">
        <v>115.07417230573149</v>
      </c>
      <c r="T112" s="67">
        <v>108.23732001556621</v>
      </c>
      <c r="U112" s="40">
        <v>58.314259999999997</v>
      </c>
      <c r="V112" s="40">
        <v>100.36138110687193</v>
      </c>
      <c r="W112" s="67">
        <v>118</v>
      </c>
      <c r="X112" s="40">
        <v>115.6138</v>
      </c>
      <c r="Y112" s="67">
        <v>109.14578044622642</v>
      </c>
      <c r="Z112" s="40">
        <v>103.07262569832402</v>
      </c>
      <c r="AA112" s="40">
        <v>106.07366226546213</v>
      </c>
      <c r="AB112" s="40">
        <v>118.14190000000001</v>
      </c>
      <c r="AC112" s="40">
        <v>104.0722724113968</v>
      </c>
      <c r="AD112" s="67">
        <v>121.9074</v>
      </c>
      <c r="AE112" s="67">
        <v>121.84243699019314</v>
      </c>
      <c r="AF112" s="67">
        <v>135.69970000000001</v>
      </c>
      <c r="AG112" s="140"/>
      <c r="AH112" s="138">
        <v>122</v>
      </c>
      <c r="AI112" s="138">
        <v>54.408020280092366</v>
      </c>
      <c r="AJ112" s="138">
        <v>125.4392</v>
      </c>
    </row>
    <row r="113" spans="1:248" ht="9.9499999999999993" customHeight="1">
      <c r="A113" s="150">
        <v>4.5</v>
      </c>
      <c r="B113" s="202" t="s">
        <v>29</v>
      </c>
      <c r="C113" s="40">
        <f>114-36</f>
        <v>78</v>
      </c>
      <c r="D113" s="40">
        <v>52.20234</v>
      </c>
      <c r="E113" s="67">
        <v>111.45403372989507</v>
      </c>
      <c r="F113" s="67">
        <v>83.290640118970913</v>
      </c>
      <c r="G113" s="40">
        <v>89.643263728035336</v>
      </c>
      <c r="H113" s="67">
        <v>100.07900091304808</v>
      </c>
      <c r="I113" s="40">
        <v>99.480869999999996</v>
      </c>
      <c r="J113" s="67">
        <v>87.060037635890794</v>
      </c>
      <c r="K113" s="40">
        <v>102.99831666666667</v>
      </c>
      <c r="L113" s="67">
        <v>101.96685834605556</v>
      </c>
      <c r="M113" s="67">
        <v>84.539359248595858</v>
      </c>
      <c r="N113" s="67">
        <v>105.3724</v>
      </c>
      <c r="O113" s="67">
        <v>94.947270096190408</v>
      </c>
      <c r="P113" s="67">
        <v>128.11605220488556</v>
      </c>
      <c r="Q113" s="67">
        <v>66.906751802498661</v>
      </c>
      <c r="R113" s="67">
        <v>80.786906501798896</v>
      </c>
      <c r="S113" s="67">
        <v>54.208377526482828</v>
      </c>
      <c r="T113" s="67">
        <v>70.236995719289126</v>
      </c>
      <c r="U113" s="40">
        <v>37.168520000000001</v>
      </c>
      <c r="V113" s="40">
        <v>95.44669130875667</v>
      </c>
      <c r="W113" s="67">
        <v>79</v>
      </c>
      <c r="X113" s="40">
        <v>152.1002</v>
      </c>
      <c r="Y113" s="67">
        <v>84.37268788409915</v>
      </c>
      <c r="Z113" s="40">
        <v>46.424581005586589</v>
      </c>
      <c r="AA113" s="40">
        <v>84.05837387074358</v>
      </c>
      <c r="AB113" s="40">
        <v>71.962239999999994</v>
      </c>
      <c r="AC113" s="40">
        <v>104.0722724113968</v>
      </c>
      <c r="AD113" s="67">
        <v>68.580889999999997</v>
      </c>
      <c r="AE113" s="67">
        <v>86.984626932631329</v>
      </c>
      <c r="AF113" s="67">
        <v>63.569920000000003</v>
      </c>
      <c r="AG113" s="140"/>
      <c r="AH113" s="138">
        <v>41</v>
      </c>
      <c r="AI113" s="138">
        <v>98.008033013294067</v>
      </c>
      <c r="AJ113" s="138">
        <v>76.108239999999995</v>
      </c>
    </row>
    <row r="114" spans="1:248" s="149" customFormat="1" ht="9.9499999999999993" customHeight="1">
      <c r="A114" s="145">
        <v>5</v>
      </c>
      <c r="B114" s="204" t="s">
        <v>30</v>
      </c>
      <c r="C114" s="198">
        <v>22</v>
      </c>
      <c r="D114" s="198">
        <v>7.2275580000000001</v>
      </c>
      <c r="E114" s="189">
        <v>9.0342673822314659</v>
      </c>
      <c r="F114" s="189">
        <v>35.634061432118351</v>
      </c>
      <c r="G114" s="198">
        <v>9.6142049437790345</v>
      </c>
      <c r="H114" s="189">
        <v>4.4668403200515483</v>
      </c>
      <c r="I114" s="198">
        <v>40.008616000000004</v>
      </c>
      <c r="J114" s="189">
        <v>9.9747168748657931</v>
      </c>
      <c r="K114" s="198">
        <v>17.837325</v>
      </c>
      <c r="L114" s="189">
        <v>6.5149976170496755</v>
      </c>
      <c r="M114" s="189">
        <v>7.6134485606417019</v>
      </c>
      <c r="N114" s="189">
        <v>42.442701999999997</v>
      </c>
      <c r="O114" s="189">
        <v>14.294777194752101</v>
      </c>
      <c r="P114" s="189">
        <v>50.915844873873603</v>
      </c>
      <c r="Q114" s="189">
        <v>31.756468338811743</v>
      </c>
      <c r="R114" s="189">
        <v>5.3358333198896233</v>
      </c>
      <c r="S114" s="189">
        <v>8.6944225230513155</v>
      </c>
      <c r="T114" s="189">
        <v>14.512388117784408</v>
      </c>
      <c r="U114" s="198">
        <v>23.214560299999999</v>
      </c>
      <c r="V114" s="198">
        <v>16.739884275353052</v>
      </c>
      <c r="W114" s="189">
        <v>19</v>
      </c>
      <c r="X114" s="198">
        <v>4.9389900000000004</v>
      </c>
      <c r="Y114" s="189">
        <v>12.5665772706338</v>
      </c>
      <c r="Z114" s="198">
        <v>7.039106145251397</v>
      </c>
      <c r="AA114" s="198">
        <v>6.004169562195969</v>
      </c>
      <c r="AB114" s="198">
        <v>13.180323</v>
      </c>
      <c r="AC114" s="198">
        <v>5.0034746351633075</v>
      </c>
      <c r="AD114" s="189">
        <v>46.099934999999995</v>
      </c>
      <c r="AE114" s="189">
        <v>35.057837464993824</v>
      </c>
      <c r="AF114" s="189">
        <v>27.808386999999996</v>
      </c>
      <c r="AG114" s="140"/>
      <c r="AH114" s="147">
        <v>12</v>
      </c>
      <c r="AI114" s="147">
        <v>12.552157820664268</v>
      </c>
      <c r="AJ114" s="147">
        <v>18.698800799999997</v>
      </c>
      <c r="AK114" s="86"/>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c r="BZ114" s="86"/>
      <c r="CA114" s="86"/>
      <c r="CB114" s="86"/>
      <c r="CC114" s="86"/>
      <c r="CD114" s="86"/>
      <c r="CE114" s="86"/>
      <c r="CF114" s="86"/>
      <c r="CG114" s="86"/>
      <c r="CH114" s="86"/>
      <c r="CI114" s="86"/>
      <c r="CJ114" s="86"/>
      <c r="CK114" s="86"/>
      <c r="CL114" s="86"/>
      <c r="CM114" s="86"/>
      <c r="CN114" s="86"/>
      <c r="CO114" s="86"/>
      <c r="CP114" s="86"/>
      <c r="CQ114" s="86"/>
      <c r="CR114" s="86"/>
      <c r="CS114" s="86"/>
      <c r="CT114" s="86"/>
      <c r="CU114" s="86"/>
      <c r="CV114" s="86"/>
      <c r="CW114" s="86"/>
      <c r="CX114" s="86"/>
      <c r="CY114" s="86"/>
      <c r="CZ114" s="86"/>
      <c r="DA114" s="86"/>
      <c r="DB114" s="86"/>
      <c r="DC114" s="86"/>
      <c r="DD114" s="86"/>
      <c r="DE114" s="86"/>
      <c r="DF114" s="86"/>
      <c r="DG114" s="86"/>
      <c r="DH114" s="86"/>
      <c r="DI114" s="86"/>
      <c r="DJ114" s="86"/>
      <c r="DK114" s="86"/>
      <c r="DL114" s="86"/>
      <c r="DM114" s="86"/>
      <c r="DN114" s="86"/>
      <c r="DO114" s="86"/>
      <c r="DP114" s="86"/>
      <c r="DQ114" s="86"/>
      <c r="DR114" s="86"/>
      <c r="DS114" s="86"/>
      <c r="DT114" s="86"/>
      <c r="DU114" s="86"/>
      <c r="DV114" s="86"/>
      <c r="DW114" s="86"/>
      <c r="DX114" s="86"/>
      <c r="DY114" s="86"/>
      <c r="DZ114" s="86"/>
      <c r="EA114" s="86"/>
      <c r="EB114" s="86"/>
      <c r="EC114" s="86"/>
      <c r="ED114" s="86"/>
      <c r="EE114" s="86"/>
      <c r="EF114" s="86"/>
      <c r="EG114" s="86"/>
      <c r="EH114" s="86"/>
      <c r="EI114" s="86"/>
      <c r="EJ114" s="86"/>
      <c r="EK114" s="86"/>
      <c r="EL114" s="86"/>
      <c r="EM114" s="86"/>
      <c r="EN114" s="86"/>
      <c r="EO114" s="86"/>
      <c r="EP114" s="86"/>
      <c r="EQ114" s="86"/>
      <c r="ER114" s="86"/>
      <c r="ES114" s="86"/>
      <c r="ET114" s="86"/>
      <c r="EU114" s="86"/>
      <c r="EV114" s="86"/>
      <c r="EW114" s="86"/>
      <c r="EX114" s="86"/>
      <c r="EY114" s="86"/>
      <c r="EZ114" s="86"/>
      <c r="FA114" s="86"/>
      <c r="FB114" s="86"/>
      <c r="FC114" s="86"/>
      <c r="FD114" s="86"/>
      <c r="FE114" s="86"/>
      <c r="FF114" s="86"/>
      <c r="FG114" s="86"/>
      <c r="FH114" s="86"/>
      <c r="FI114" s="86"/>
      <c r="FJ114" s="86"/>
      <c r="FK114" s="86"/>
      <c r="FL114" s="86"/>
      <c r="FM114" s="86"/>
      <c r="FN114" s="86"/>
      <c r="FO114" s="86"/>
      <c r="FP114" s="86"/>
      <c r="FQ114" s="86"/>
      <c r="FR114" s="86"/>
      <c r="FS114" s="86"/>
      <c r="FT114" s="86"/>
      <c r="FU114" s="86"/>
      <c r="FV114" s="86"/>
      <c r="FW114" s="86"/>
      <c r="FX114" s="86"/>
      <c r="FY114" s="86"/>
      <c r="FZ114" s="86"/>
      <c r="GA114" s="86"/>
      <c r="GB114" s="86"/>
      <c r="GC114" s="86"/>
      <c r="GD114" s="86"/>
      <c r="GE114" s="86"/>
      <c r="GF114" s="86"/>
      <c r="GG114" s="86"/>
      <c r="GH114" s="86"/>
      <c r="GI114" s="86"/>
      <c r="GJ114" s="86"/>
      <c r="GK114" s="86"/>
      <c r="GL114" s="86"/>
      <c r="GM114" s="86"/>
      <c r="GN114" s="86"/>
      <c r="GO114" s="86"/>
      <c r="GP114" s="86"/>
      <c r="GQ114" s="86"/>
      <c r="GR114" s="86"/>
      <c r="GS114" s="86"/>
      <c r="GT114" s="86"/>
      <c r="GU114" s="86"/>
      <c r="GV114" s="86"/>
      <c r="GW114" s="86"/>
      <c r="GX114" s="86"/>
      <c r="GY114" s="86"/>
      <c r="GZ114" s="86"/>
      <c r="HA114" s="86"/>
      <c r="HB114" s="86"/>
      <c r="HC114" s="86"/>
      <c r="HD114" s="86"/>
      <c r="HE114" s="86"/>
      <c r="HF114" s="86"/>
      <c r="HG114" s="86"/>
      <c r="HH114" s="86"/>
      <c r="HI114" s="86"/>
      <c r="HJ114" s="86"/>
      <c r="HK114" s="86"/>
      <c r="HL114" s="86"/>
      <c r="HM114" s="86"/>
      <c r="HN114" s="86"/>
      <c r="HO114" s="86"/>
      <c r="HP114" s="86"/>
      <c r="HQ114" s="86"/>
      <c r="HR114" s="86"/>
      <c r="HS114" s="86"/>
      <c r="HT114" s="86"/>
      <c r="HU114" s="86"/>
      <c r="HV114" s="86"/>
      <c r="HW114" s="86"/>
      <c r="HX114" s="86"/>
      <c r="HY114" s="86"/>
      <c r="HZ114" s="86"/>
      <c r="IA114" s="86"/>
      <c r="IB114" s="86"/>
      <c r="IC114" s="86"/>
      <c r="ID114" s="86"/>
      <c r="IE114" s="86"/>
      <c r="IF114" s="86"/>
      <c r="IG114" s="86"/>
      <c r="IH114" s="86"/>
      <c r="II114" s="86"/>
      <c r="IJ114" s="86"/>
      <c r="IK114" s="86"/>
      <c r="IL114" s="86"/>
      <c r="IM114" s="86"/>
      <c r="IN114" s="86"/>
    </row>
    <row r="115" spans="1:248" ht="9.9499999999999993" customHeight="1">
      <c r="A115" s="150">
        <v>5.0999999999999996</v>
      </c>
      <c r="B115" s="203" t="s">
        <v>31</v>
      </c>
      <c r="C115" s="40">
        <v>15</v>
      </c>
      <c r="D115" s="40">
        <v>2.1837780000000002</v>
      </c>
      <c r="E115" s="67">
        <v>2.5171336911157329</v>
      </c>
      <c r="F115" s="67">
        <v>4.6519873381180705</v>
      </c>
      <c r="G115" s="40">
        <v>5.1719129595480311</v>
      </c>
      <c r="H115" s="67">
        <v>1.6181599682022052</v>
      </c>
      <c r="I115" s="40">
        <v>1.1416459999999999</v>
      </c>
      <c r="J115" s="67">
        <v>2.9996872630975702</v>
      </c>
      <c r="K115" s="40">
        <v>2.7406983333333335</v>
      </c>
      <c r="L115" s="67">
        <v>3.6036656879921889</v>
      </c>
      <c r="M115" s="67">
        <v>2.1947590012557825</v>
      </c>
      <c r="N115" s="67">
        <v>6.6607820000000002</v>
      </c>
      <c r="O115" s="67">
        <v>8.1758564263189335</v>
      </c>
      <c r="P115" s="67" t="s">
        <v>248</v>
      </c>
      <c r="Q115" s="67">
        <v>12.201113094715149</v>
      </c>
      <c r="R115" s="67">
        <v>2.7665417496405582</v>
      </c>
      <c r="S115" s="67">
        <v>3.1078879545051654</v>
      </c>
      <c r="T115" s="67">
        <v>4.02425736152549</v>
      </c>
      <c r="U115" s="40">
        <v>22.286899999999999</v>
      </c>
      <c r="V115" s="40">
        <v>7.0648841415363934</v>
      </c>
      <c r="W115" s="67">
        <v>10</v>
      </c>
      <c r="X115" s="40">
        <v>2.1656110000000002</v>
      </c>
      <c r="Y115" s="67">
        <v>9.3742573678389292</v>
      </c>
      <c r="Z115" s="40">
        <v>6.033519553072626</v>
      </c>
      <c r="AA115" s="40">
        <v>4.002779708130646</v>
      </c>
      <c r="AB115" s="40">
        <v>4.3492350000000002</v>
      </c>
      <c r="AC115" s="40" t="s">
        <v>248</v>
      </c>
      <c r="AD115" s="67">
        <v>40.662329999999997</v>
      </c>
      <c r="AE115" s="67">
        <v>4.9716903101558998</v>
      </c>
      <c r="AF115" s="67">
        <v>9.3910169999999997</v>
      </c>
      <c r="AG115" s="140"/>
      <c r="AH115" s="138" t="s">
        <v>248</v>
      </c>
      <c r="AI115" s="138">
        <v>12.552157820664268</v>
      </c>
      <c r="AJ115" s="138">
        <v>18.697299999999998</v>
      </c>
    </row>
    <row r="116" spans="1:248" ht="9.9499999999999993" customHeight="1">
      <c r="A116" s="156">
        <v>5.2</v>
      </c>
      <c r="B116" s="206" t="s">
        <v>32</v>
      </c>
      <c r="C116" s="199">
        <v>7.0000000000000018</v>
      </c>
      <c r="D116" s="199">
        <v>5.0437799999999999</v>
      </c>
      <c r="E116" s="200">
        <v>6.5171336911157329</v>
      </c>
      <c r="F116" s="200">
        <v>30.982074094000282</v>
      </c>
      <c r="G116" s="199">
        <v>4.4422919842310016</v>
      </c>
      <c r="H116" s="200">
        <v>2.8486803518493433</v>
      </c>
      <c r="I116" s="199">
        <v>38.866970000000002</v>
      </c>
      <c r="J116" s="200">
        <v>6.975029611768222</v>
      </c>
      <c r="K116" s="199">
        <v>15.096626666666667</v>
      </c>
      <c r="L116" s="200">
        <v>2.9113319290574866</v>
      </c>
      <c r="M116" s="200">
        <v>5.4186895593859186</v>
      </c>
      <c r="N116" s="200">
        <v>35.78192</v>
      </c>
      <c r="O116" s="200">
        <v>6.1189207684331679</v>
      </c>
      <c r="P116" s="200">
        <v>50.915844873873638</v>
      </c>
      <c r="Q116" s="200">
        <v>19.555355244096596</v>
      </c>
      <c r="R116" s="200">
        <v>2.5692915702490646</v>
      </c>
      <c r="S116" s="200">
        <v>5.5865345685461492</v>
      </c>
      <c r="T116" s="200">
        <v>10.488130756258919</v>
      </c>
      <c r="U116" s="199">
        <v>0.92766029999999999</v>
      </c>
      <c r="V116" s="199">
        <v>9.675000133816658</v>
      </c>
      <c r="W116" s="200">
        <v>9</v>
      </c>
      <c r="X116" s="199">
        <v>2.7733789999999998</v>
      </c>
      <c r="Y116" s="200">
        <v>3.1923199027948717</v>
      </c>
      <c r="Z116" s="199">
        <v>1.005586592178771</v>
      </c>
      <c r="AA116" s="199">
        <v>2.001389854065323</v>
      </c>
      <c r="AB116" s="199">
        <v>8.8310879999999994</v>
      </c>
      <c r="AC116" s="199" t="s">
        <v>248</v>
      </c>
      <c r="AD116" s="200">
        <v>5.4376049999999996</v>
      </c>
      <c r="AE116" s="200">
        <v>30.086147154837921</v>
      </c>
      <c r="AF116" s="200">
        <v>18.417369999999998</v>
      </c>
      <c r="AG116" s="140"/>
      <c r="AH116" s="144">
        <v>12</v>
      </c>
      <c r="AI116" s="138" t="s">
        <v>248</v>
      </c>
      <c r="AJ116" s="144" t="s">
        <v>248</v>
      </c>
    </row>
    <row r="117" spans="1:248" s="149" customFormat="1" ht="9.9499999999999993" customHeight="1">
      <c r="A117" s="145" t="s">
        <v>2</v>
      </c>
      <c r="B117" s="204" t="s">
        <v>33</v>
      </c>
      <c r="C117" s="171">
        <v>1440</v>
      </c>
      <c r="D117" s="171">
        <v>1440.2147135</v>
      </c>
      <c r="E117" s="171">
        <v>1440</v>
      </c>
      <c r="F117" s="171">
        <v>1440</v>
      </c>
      <c r="G117" s="147">
        <v>1440</v>
      </c>
      <c r="H117" s="147">
        <v>1439.6875667872612</v>
      </c>
      <c r="I117" s="147">
        <v>1440.0000210000001</v>
      </c>
      <c r="J117" s="147">
        <v>1440</v>
      </c>
      <c r="K117" s="147">
        <v>1439.9999461666666</v>
      </c>
      <c r="L117" s="171">
        <v>1440</v>
      </c>
      <c r="M117" s="147">
        <v>1440</v>
      </c>
      <c r="N117" s="147">
        <v>1440</v>
      </c>
      <c r="O117" s="147">
        <v>1440</v>
      </c>
      <c r="P117" s="147">
        <v>1439.85168683045</v>
      </c>
      <c r="Q117" s="147">
        <v>1440</v>
      </c>
      <c r="R117" s="171">
        <v>1440.0000000000002</v>
      </c>
      <c r="S117" s="171"/>
      <c r="T117" s="171"/>
      <c r="U117" s="147">
        <v>1440</v>
      </c>
      <c r="V117" s="148">
        <v>1440</v>
      </c>
      <c r="W117" s="147">
        <v>1440</v>
      </c>
      <c r="X117" s="147">
        <v>1440.000078</v>
      </c>
      <c r="Y117" s="147">
        <v>1440</v>
      </c>
      <c r="Z117" s="147">
        <v>1440</v>
      </c>
      <c r="AA117" s="147">
        <v>1440</v>
      </c>
      <c r="AB117" s="147">
        <v>1439.6097141</v>
      </c>
      <c r="AC117" s="147">
        <v>1440</v>
      </c>
      <c r="AD117" s="147">
        <v>1440.0000000000002</v>
      </c>
      <c r="AE117" s="147">
        <v>1440</v>
      </c>
      <c r="AF117" s="147">
        <v>1440</v>
      </c>
      <c r="AG117" s="140"/>
      <c r="AH117" s="147">
        <v>1440</v>
      </c>
      <c r="AI117" s="158">
        <v>1440</v>
      </c>
      <c r="AJ117" s="147">
        <v>1440</v>
      </c>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6"/>
      <c r="BQ117" s="86"/>
      <c r="BR117" s="86"/>
      <c r="BS117" s="86"/>
      <c r="BT117" s="86"/>
      <c r="BU117" s="86"/>
      <c r="BV117" s="86"/>
      <c r="BW117" s="86"/>
      <c r="BX117" s="86"/>
      <c r="BY117" s="86"/>
      <c r="BZ117" s="86"/>
      <c r="CA117" s="86"/>
      <c r="CB117" s="86"/>
      <c r="CC117" s="86"/>
      <c r="CD117" s="86"/>
      <c r="CE117" s="86"/>
      <c r="CF117" s="86"/>
      <c r="CG117" s="86"/>
      <c r="CH117" s="86"/>
      <c r="CI117" s="86"/>
      <c r="CJ117" s="86"/>
      <c r="CK117" s="86"/>
      <c r="CL117" s="86"/>
      <c r="CM117" s="86"/>
      <c r="CN117" s="86"/>
      <c r="CO117" s="86"/>
      <c r="CP117" s="86"/>
      <c r="CQ117" s="86"/>
      <c r="CR117" s="86"/>
      <c r="CS117" s="86"/>
      <c r="CT117" s="86"/>
      <c r="CU117" s="86"/>
      <c r="CV117" s="86"/>
      <c r="CW117" s="86"/>
      <c r="CX117" s="86"/>
      <c r="CY117" s="86"/>
      <c r="CZ117" s="86"/>
      <c r="DA117" s="86"/>
      <c r="DB117" s="86"/>
      <c r="DC117" s="86"/>
      <c r="DD117" s="86"/>
      <c r="DE117" s="86"/>
      <c r="DF117" s="86"/>
      <c r="DG117" s="86"/>
      <c r="DH117" s="86"/>
      <c r="DI117" s="86"/>
      <c r="DJ117" s="86"/>
      <c r="DK117" s="86"/>
      <c r="DL117" s="86"/>
      <c r="DM117" s="86"/>
      <c r="DN117" s="86"/>
      <c r="DO117" s="86"/>
      <c r="DP117" s="86"/>
      <c r="DQ117" s="86"/>
      <c r="DR117" s="86"/>
      <c r="DS117" s="86"/>
      <c r="DT117" s="86"/>
      <c r="DU117" s="86"/>
      <c r="DV117" s="86"/>
      <c r="DW117" s="86"/>
      <c r="DX117" s="86"/>
      <c r="DY117" s="86"/>
      <c r="DZ117" s="86"/>
      <c r="EA117" s="86"/>
      <c r="EB117" s="86"/>
      <c r="EC117" s="86"/>
      <c r="ED117" s="86"/>
      <c r="EE117" s="86"/>
      <c r="EF117" s="86"/>
      <c r="EG117" s="86"/>
      <c r="EH117" s="86"/>
      <c r="EI117" s="86"/>
      <c r="EJ117" s="86"/>
      <c r="EK117" s="86"/>
      <c r="EL117" s="86"/>
      <c r="EM117" s="86"/>
      <c r="EN117" s="86"/>
      <c r="EO117" s="86"/>
      <c r="EP117" s="86"/>
      <c r="EQ117" s="86"/>
      <c r="ER117" s="86"/>
      <c r="ES117" s="86"/>
      <c r="ET117" s="86"/>
      <c r="EU117" s="86"/>
      <c r="EV117" s="86"/>
      <c r="EW117" s="86"/>
      <c r="EX117" s="86"/>
      <c r="EY117" s="86"/>
      <c r="EZ117" s="86"/>
      <c r="FA117" s="86"/>
      <c r="FB117" s="86"/>
      <c r="FC117" s="86"/>
      <c r="FD117" s="86"/>
      <c r="FE117" s="86"/>
      <c r="FF117" s="86"/>
      <c r="FG117" s="86"/>
      <c r="FH117" s="86"/>
      <c r="FI117" s="86"/>
      <c r="FJ117" s="86"/>
      <c r="FK117" s="86"/>
      <c r="FL117" s="86"/>
      <c r="FM117" s="86"/>
      <c r="FN117" s="86"/>
      <c r="FO117" s="86"/>
      <c r="FP117" s="86"/>
      <c r="FQ117" s="86"/>
      <c r="FR117" s="86"/>
      <c r="FS117" s="86"/>
      <c r="FT117" s="86"/>
      <c r="FU117" s="86"/>
      <c r="FV117" s="86"/>
      <c r="FW117" s="86"/>
      <c r="FX117" s="86"/>
      <c r="FY117" s="86"/>
      <c r="FZ117" s="86"/>
      <c r="GA117" s="86"/>
      <c r="GB117" s="86"/>
      <c r="GC117" s="86"/>
      <c r="GD117" s="86"/>
      <c r="GE117" s="86"/>
      <c r="GF117" s="86"/>
      <c r="GG117" s="86"/>
      <c r="GH117" s="86"/>
      <c r="GI117" s="86"/>
      <c r="GJ117" s="86"/>
      <c r="GK117" s="86"/>
      <c r="GL117" s="86"/>
      <c r="GM117" s="86"/>
      <c r="GN117" s="86"/>
      <c r="GO117" s="86"/>
      <c r="GP117" s="86"/>
      <c r="GQ117" s="86"/>
      <c r="GR117" s="86"/>
      <c r="GS117" s="86"/>
      <c r="GT117" s="86"/>
      <c r="GU117" s="86"/>
      <c r="GV117" s="86"/>
      <c r="GW117" s="86"/>
      <c r="GX117" s="86"/>
      <c r="GY117" s="86"/>
      <c r="GZ117" s="86"/>
      <c r="HA117" s="86"/>
      <c r="HB117" s="86"/>
      <c r="HC117" s="86"/>
      <c r="HD117" s="86"/>
      <c r="HE117" s="86"/>
      <c r="HF117" s="86"/>
      <c r="HG117" s="86"/>
      <c r="HH117" s="86"/>
      <c r="HI117" s="86"/>
      <c r="HJ117" s="86"/>
      <c r="HK117" s="86"/>
      <c r="HL117" s="86"/>
      <c r="HM117" s="86"/>
      <c r="HN117" s="86"/>
      <c r="HO117" s="86"/>
      <c r="HP117" s="86"/>
      <c r="HQ117" s="86"/>
      <c r="HR117" s="86"/>
      <c r="HS117" s="86"/>
      <c r="HT117" s="86"/>
      <c r="HU117" s="86"/>
      <c r="HV117" s="86"/>
      <c r="HW117" s="86"/>
      <c r="HX117" s="86"/>
      <c r="HY117" s="86"/>
      <c r="HZ117" s="86"/>
      <c r="IA117" s="86"/>
      <c r="IB117" s="86"/>
      <c r="IC117" s="86"/>
      <c r="ID117" s="86"/>
      <c r="IE117" s="86"/>
      <c r="IF117" s="86"/>
      <c r="IG117" s="86"/>
      <c r="IH117" s="86"/>
      <c r="II117" s="86"/>
      <c r="IJ117" s="86"/>
      <c r="IK117" s="86"/>
      <c r="IL117" s="86"/>
      <c r="IM117" s="86"/>
      <c r="IN117" s="86"/>
    </row>
    <row r="118" spans="1:248">
      <c r="A118" s="160" t="s">
        <v>512</v>
      </c>
      <c r="C118" s="91" t="s">
        <v>503</v>
      </c>
      <c r="D118" s="92"/>
      <c r="E118" s="91"/>
      <c r="F118" s="92"/>
      <c r="G118" s="92"/>
      <c r="H118" s="162"/>
      <c r="I118" s="92"/>
      <c r="J118" s="92"/>
      <c r="K118" s="92"/>
      <c r="L118" s="91"/>
      <c r="M118" s="91"/>
      <c r="N118" s="92"/>
      <c r="O118" s="92"/>
      <c r="P118" s="92"/>
      <c r="Q118" s="92"/>
      <c r="R118" s="92"/>
      <c r="S118" s="92"/>
      <c r="T118" s="92"/>
      <c r="U118" s="92"/>
      <c r="V118" s="92"/>
      <c r="W118" s="92"/>
      <c r="X118" s="92"/>
      <c r="Y118" s="91"/>
      <c r="Z118" s="92"/>
      <c r="AA118" s="92"/>
      <c r="AB118" s="92"/>
      <c r="AC118" s="91"/>
      <c r="AD118" s="91"/>
      <c r="AE118" s="92"/>
      <c r="AF118" s="92"/>
      <c r="AG118" s="86"/>
      <c r="AH118" s="91" t="s">
        <v>504</v>
      </c>
      <c r="AI118" s="92"/>
      <c r="AJ118" s="93"/>
    </row>
    <row r="119" spans="1:248" ht="409.5">
      <c r="A119" s="164"/>
      <c r="C119" s="214" t="s">
        <v>237</v>
      </c>
      <c r="D119" s="216"/>
      <c r="E119" s="214" t="s">
        <v>486</v>
      </c>
      <c r="F119" s="217"/>
      <c r="G119" s="216"/>
      <c r="H119" s="214" t="s">
        <v>486</v>
      </c>
      <c r="I119" s="216"/>
      <c r="J119" s="217"/>
      <c r="K119" s="216"/>
      <c r="L119" s="214" t="s">
        <v>486</v>
      </c>
      <c r="M119" s="214" t="s">
        <v>486</v>
      </c>
      <c r="N119" s="217"/>
      <c r="O119" s="217"/>
      <c r="P119" s="215" t="s">
        <v>560</v>
      </c>
      <c r="Q119" s="217"/>
      <c r="R119" s="217"/>
      <c r="S119" s="214" t="s">
        <v>488</v>
      </c>
      <c r="T119" s="214" t="s">
        <v>486</v>
      </c>
      <c r="U119" s="214" t="s">
        <v>555</v>
      </c>
      <c r="V119" s="216"/>
      <c r="W119" s="215"/>
      <c r="X119" s="216"/>
      <c r="Y119" s="214" t="s">
        <v>486</v>
      </c>
      <c r="Z119"/>
      <c r="AA119" s="37"/>
      <c r="AB119"/>
      <c r="AC119" s="49"/>
      <c r="AD119" s="37"/>
      <c r="AE119" s="25"/>
      <c r="AF119" s="25"/>
      <c r="AG119" s="86"/>
      <c r="AH119" s="87"/>
      <c r="AI119" s="87"/>
      <c r="AJ119" s="93"/>
    </row>
    <row r="120" spans="1:248">
      <c r="C120" s="86"/>
      <c r="D120" s="86"/>
      <c r="E120" s="86"/>
      <c r="F120" s="94"/>
      <c r="G120" s="86"/>
      <c r="H120" s="86"/>
      <c r="I120" s="94"/>
      <c r="J120" s="86"/>
      <c r="K120" s="86"/>
      <c r="L120" s="86"/>
      <c r="M120" s="86"/>
      <c r="N120" s="86"/>
      <c r="O120" s="86"/>
      <c r="U120" s="86"/>
      <c r="W120" s="94"/>
      <c r="Z120" s="86"/>
      <c r="AA120" s="86"/>
      <c r="AB120" s="86"/>
      <c r="AC120" s="86"/>
      <c r="AD120" s="86"/>
      <c r="AE120" s="86"/>
      <c r="AG120" s="86"/>
      <c r="AH120" s="86"/>
      <c r="AJ120" s="93"/>
    </row>
    <row r="121" spans="1:248">
      <c r="A121" s="164" t="s">
        <v>506</v>
      </c>
      <c r="B121" s="164"/>
      <c r="C121" s="164"/>
      <c r="D121" s="164"/>
      <c r="E121" s="164"/>
      <c r="H121" s="87"/>
      <c r="L121" s="86"/>
      <c r="O121" s="87"/>
      <c r="P121" s="135"/>
      <c r="Q121" s="87"/>
      <c r="V121" s="87"/>
      <c r="W121" s="87"/>
      <c r="X121" s="87"/>
      <c r="Y121" s="87"/>
      <c r="AF121" s="87"/>
      <c r="AG121" s="86"/>
      <c r="AH121" s="87"/>
      <c r="AI121" s="87"/>
      <c r="AJ121" s="93"/>
    </row>
    <row r="122" spans="1:248">
      <c r="A122" s="164" t="s">
        <v>507</v>
      </c>
      <c r="H122" s="87"/>
      <c r="L122" s="86"/>
      <c r="O122" s="87"/>
      <c r="P122" s="87"/>
      <c r="Q122" s="87"/>
      <c r="V122" s="87"/>
      <c r="W122" s="87"/>
      <c r="X122" s="87"/>
      <c r="Y122" s="87"/>
      <c r="AF122" s="87"/>
      <c r="AG122" s="86"/>
      <c r="AH122" s="87"/>
      <c r="AI122" s="87"/>
      <c r="AJ122" s="93"/>
    </row>
    <row r="123" spans="1:248">
      <c r="O123" s="87"/>
      <c r="P123" s="87"/>
      <c r="U123" s="86"/>
      <c r="W123" s="87"/>
      <c r="Z123" s="86"/>
      <c r="AA123" s="86"/>
      <c r="AF123" s="87"/>
      <c r="AG123" s="86"/>
      <c r="AH123" s="87"/>
      <c r="AI123" s="87"/>
      <c r="AJ123" s="93"/>
    </row>
    <row r="124" spans="1:248">
      <c r="O124" s="87"/>
      <c r="P124" s="87"/>
      <c r="U124" s="86"/>
      <c r="V124" s="87"/>
      <c r="Z124" s="86"/>
      <c r="AF124" s="87"/>
      <c r="AH124" s="87"/>
      <c r="AI124" s="93"/>
    </row>
    <row r="125" spans="1:248">
      <c r="O125" s="87"/>
      <c r="P125" s="87"/>
      <c r="U125" s="86"/>
      <c r="V125" s="87"/>
      <c r="Z125" s="86"/>
      <c r="AF125" s="87"/>
      <c r="AH125" s="87"/>
      <c r="AI125" s="93"/>
    </row>
    <row r="126" spans="1:248">
      <c r="O126" s="87"/>
      <c r="P126" s="87"/>
      <c r="U126" s="86"/>
      <c r="V126" s="87"/>
      <c r="Z126" s="86"/>
      <c r="AF126" s="87"/>
      <c r="AH126" s="87"/>
      <c r="AI126" s="93"/>
    </row>
    <row r="127" spans="1:248">
      <c r="O127" s="87"/>
      <c r="P127" s="87"/>
      <c r="U127" s="86"/>
      <c r="V127" s="87"/>
      <c r="Z127" s="86"/>
      <c r="AF127" s="87"/>
      <c r="AH127" s="87"/>
      <c r="AI127" s="93"/>
    </row>
    <row r="128" spans="1:248">
      <c r="O128" s="87"/>
      <c r="P128" s="87"/>
      <c r="U128" s="86"/>
      <c r="V128" s="87"/>
      <c r="Z128" s="86"/>
      <c r="AF128" s="87"/>
      <c r="AH128" s="87"/>
      <c r="AI128" s="93"/>
    </row>
    <row r="129" spans="15:35">
      <c r="O129" s="87"/>
      <c r="P129" s="87"/>
      <c r="U129" s="86"/>
      <c r="V129" s="87"/>
      <c r="Z129" s="86"/>
      <c r="AF129" s="87"/>
      <c r="AH129" s="87"/>
      <c r="AI129" s="93"/>
    </row>
    <row r="130" spans="15:35">
      <c r="O130" s="87"/>
      <c r="P130" s="87"/>
      <c r="U130" s="86"/>
      <c r="V130" s="87"/>
      <c r="Z130" s="86"/>
      <c r="AF130" s="87"/>
      <c r="AH130" s="87"/>
      <c r="AI130" s="93"/>
    </row>
    <row r="131" spans="15:35">
      <c r="O131" s="87"/>
      <c r="P131" s="87"/>
      <c r="U131" s="86"/>
      <c r="V131" s="87"/>
      <c r="Z131" s="86"/>
      <c r="AF131" s="87"/>
      <c r="AH131" s="87"/>
      <c r="AI131" s="93"/>
    </row>
    <row r="132" spans="15:35">
      <c r="O132" s="87"/>
    </row>
    <row r="133" spans="15:35">
      <c r="O133" s="87"/>
    </row>
    <row r="134" spans="15:35">
      <c r="O134" s="87"/>
    </row>
    <row r="135" spans="15:35">
      <c r="O135" s="87"/>
    </row>
    <row r="136" spans="15:35">
      <c r="O136" s="87"/>
    </row>
    <row r="137" spans="15:35">
      <c r="O137" s="87"/>
    </row>
    <row r="138" spans="15:35">
      <c r="O138" s="87"/>
    </row>
    <row r="139" spans="15:35">
      <c r="O139" s="87"/>
    </row>
    <row r="140" spans="15:35">
      <c r="O140" s="87"/>
    </row>
    <row r="141" spans="15:35">
      <c r="O141" s="87"/>
    </row>
    <row r="142" spans="15:35">
      <c r="O142" s="87"/>
    </row>
  </sheetData>
  <mergeCells count="6">
    <mergeCell ref="P58:P59"/>
    <mergeCell ref="P90:P91"/>
    <mergeCell ref="P99:P100"/>
    <mergeCell ref="P8:P9"/>
    <mergeCell ref="P17:P18"/>
    <mergeCell ref="P49:P50"/>
  </mergeCells>
  <pageMargins left="0.7" right="0.7" top="0.75" bottom="0.75" header="0.3" footer="0.3"/>
  <pageSetup paperSize="9" orientation="portrait" r:id="rId1"/>
  <headerFooter>
    <oddFooter>&amp;C_x000D_&amp;1#&amp;"Aptos"&amp;10&amp;K0000FF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M142"/>
  <sheetViews>
    <sheetView workbookViewId="0"/>
  </sheetViews>
  <sheetFormatPr defaultRowHeight="11.25"/>
  <cols>
    <col min="1" max="1" width="9.140625" style="163" customWidth="1"/>
    <col min="2" max="2" width="48.7109375" style="161" customWidth="1"/>
    <col min="3" max="7" width="10.5703125" style="87" customWidth="1"/>
    <col min="8" max="8" width="10.5703125" style="134" customWidth="1"/>
    <col min="9" max="14" width="10.5703125" style="87" customWidth="1"/>
    <col min="15" max="15" width="10.5703125" style="135" customWidth="1"/>
    <col min="16" max="18" width="10.5703125" style="86" customWidth="1"/>
    <col min="19" max="19" width="10.5703125" style="87" customWidth="1"/>
    <col min="20" max="23" width="10.5703125" style="86" customWidth="1"/>
    <col min="24" max="29" width="10.5703125" style="87" customWidth="1"/>
    <col min="30" max="30" width="10.5703125" style="86" customWidth="1"/>
    <col min="31" max="31" width="10.5703125" style="87" customWidth="1"/>
    <col min="32" max="32" width="10.5703125" style="93" customWidth="1"/>
    <col min="33" max="34" width="10.5703125" style="86" customWidth="1"/>
    <col min="35" max="255" width="9.140625" style="86"/>
    <col min="256" max="256" width="5.42578125" style="86" customWidth="1"/>
    <col min="257" max="257" width="31.140625" style="86" customWidth="1"/>
    <col min="258" max="274" width="7.5703125" style="86" customWidth="1"/>
    <col min="275" max="275" width="11" style="86" customWidth="1"/>
    <col min="276" max="278" width="7.5703125" style="86" customWidth="1"/>
    <col min="279" max="280" width="10.7109375" style="86" customWidth="1"/>
    <col min="281" max="281" width="11" style="86" customWidth="1"/>
    <col min="282" max="284" width="10.7109375" style="86" customWidth="1"/>
    <col min="285" max="285" width="9.140625" style="86"/>
    <col min="286" max="287" width="7.5703125" style="86" customWidth="1"/>
    <col min="288" max="511" width="9.140625" style="86"/>
    <col min="512" max="512" width="5.42578125" style="86" customWidth="1"/>
    <col min="513" max="513" width="31.140625" style="86" customWidth="1"/>
    <col min="514" max="530" width="7.5703125" style="86" customWidth="1"/>
    <col min="531" max="531" width="11" style="86" customWidth="1"/>
    <col min="532" max="534" width="7.5703125" style="86" customWidth="1"/>
    <col min="535" max="536" width="10.7109375" style="86" customWidth="1"/>
    <col min="537" max="537" width="11" style="86" customWidth="1"/>
    <col min="538" max="540" width="10.7109375" style="86" customWidth="1"/>
    <col min="541" max="541" width="9.140625" style="86"/>
    <col min="542" max="543" width="7.5703125" style="86" customWidth="1"/>
    <col min="544" max="767" width="9.140625" style="86"/>
    <col min="768" max="768" width="5.42578125" style="86" customWidth="1"/>
    <col min="769" max="769" width="31.140625" style="86" customWidth="1"/>
    <col min="770" max="786" width="7.5703125" style="86" customWidth="1"/>
    <col min="787" max="787" width="11" style="86" customWidth="1"/>
    <col min="788" max="790" width="7.5703125" style="86" customWidth="1"/>
    <col min="791" max="792" width="10.7109375" style="86" customWidth="1"/>
    <col min="793" max="793" width="11" style="86" customWidth="1"/>
    <col min="794" max="796" width="10.7109375" style="86" customWidth="1"/>
    <col min="797" max="797" width="9.140625" style="86"/>
    <col min="798" max="799" width="7.5703125" style="86" customWidth="1"/>
    <col min="800" max="1023" width="9.140625" style="86"/>
    <col min="1024" max="1024" width="5.42578125" style="86" customWidth="1"/>
    <col min="1025" max="1025" width="31.140625" style="86" customWidth="1"/>
    <col min="1026" max="1042" width="7.5703125" style="86" customWidth="1"/>
    <col min="1043" max="1043" width="11" style="86" customWidth="1"/>
    <col min="1044" max="1046" width="7.5703125" style="86" customWidth="1"/>
    <col min="1047" max="1048" width="10.7109375" style="86" customWidth="1"/>
    <col min="1049" max="1049" width="11" style="86" customWidth="1"/>
    <col min="1050" max="1052" width="10.7109375" style="86" customWidth="1"/>
    <col min="1053" max="1053" width="9.140625" style="86"/>
    <col min="1054" max="1055" width="7.5703125" style="86" customWidth="1"/>
    <col min="1056" max="1279" width="9.140625" style="86"/>
    <col min="1280" max="1280" width="5.42578125" style="86" customWidth="1"/>
    <col min="1281" max="1281" width="31.140625" style="86" customWidth="1"/>
    <col min="1282" max="1298" width="7.5703125" style="86" customWidth="1"/>
    <col min="1299" max="1299" width="11" style="86" customWidth="1"/>
    <col min="1300" max="1302" width="7.5703125" style="86" customWidth="1"/>
    <col min="1303" max="1304" width="10.7109375" style="86" customWidth="1"/>
    <col min="1305" max="1305" width="11" style="86" customWidth="1"/>
    <col min="1306" max="1308" width="10.7109375" style="86" customWidth="1"/>
    <col min="1309" max="1309" width="9.140625" style="86"/>
    <col min="1310" max="1311" width="7.5703125" style="86" customWidth="1"/>
    <col min="1312" max="1535" width="9.140625" style="86"/>
    <col min="1536" max="1536" width="5.42578125" style="86" customWidth="1"/>
    <col min="1537" max="1537" width="31.140625" style="86" customWidth="1"/>
    <col min="1538" max="1554" width="7.5703125" style="86" customWidth="1"/>
    <col min="1555" max="1555" width="11" style="86" customWidth="1"/>
    <col min="1556" max="1558" width="7.5703125" style="86" customWidth="1"/>
    <col min="1559" max="1560" width="10.7109375" style="86" customWidth="1"/>
    <col min="1561" max="1561" width="11" style="86" customWidth="1"/>
    <col min="1562" max="1564" width="10.7109375" style="86" customWidth="1"/>
    <col min="1565" max="1565" width="9.140625" style="86"/>
    <col min="1566" max="1567" width="7.5703125" style="86" customWidth="1"/>
    <col min="1568" max="1791" width="9.140625" style="86"/>
    <col min="1792" max="1792" width="5.42578125" style="86" customWidth="1"/>
    <col min="1793" max="1793" width="31.140625" style="86" customWidth="1"/>
    <col min="1794" max="1810" width="7.5703125" style="86" customWidth="1"/>
    <col min="1811" max="1811" width="11" style="86" customWidth="1"/>
    <col min="1812" max="1814" width="7.5703125" style="86" customWidth="1"/>
    <col min="1815" max="1816" width="10.7109375" style="86" customWidth="1"/>
    <col min="1817" max="1817" width="11" style="86" customWidth="1"/>
    <col min="1818" max="1820" width="10.7109375" style="86" customWidth="1"/>
    <col min="1821" max="1821" width="9.140625" style="86"/>
    <col min="1822" max="1823" width="7.5703125" style="86" customWidth="1"/>
    <col min="1824" max="2047" width="9.140625" style="86"/>
    <col min="2048" max="2048" width="5.42578125" style="86" customWidth="1"/>
    <col min="2049" max="2049" width="31.140625" style="86" customWidth="1"/>
    <col min="2050" max="2066" width="7.5703125" style="86" customWidth="1"/>
    <col min="2067" max="2067" width="11" style="86" customWidth="1"/>
    <col min="2068" max="2070" width="7.5703125" style="86" customWidth="1"/>
    <col min="2071" max="2072" width="10.7109375" style="86" customWidth="1"/>
    <col min="2073" max="2073" width="11" style="86" customWidth="1"/>
    <col min="2074" max="2076" width="10.7109375" style="86" customWidth="1"/>
    <col min="2077" max="2077" width="9.140625" style="86"/>
    <col min="2078" max="2079" width="7.5703125" style="86" customWidth="1"/>
    <col min="2080" max="2303" width="9.140625" style="86"/>
    <col min="2304" max="2304" width="5.42578125" style="86" customWidth="1"/>
    <col min="2305" max="2305" width="31.140625" style="86" customWidth="1"/>
    <col min="2306" max="2322" width="7.5703125" style="86" customWidth="1"/>
    <col min="2323" max="2323" width="11" style="86" customWidth="1"/>
    <col min="2324" max="2326" width="7.5703125" style="86" customWidth="1"/>
    <col min="2327" max="2328" width="10.7109375" style="86" customWidth="1"/>
    <col min="2329" max="2329" width="11" style="86" customWidth="1"/>
    <col min="2330" max="2332" width="10.7109375" style="86" customWidth="1"/>
    <col min="2333" max="2333" width="9.140625" style="86"/>
    <col min="2334" max="2335" width="7.5703125" style="86" customWidth="1"/>
    <col min="2336" max="2559" width="9.140625" style="86"/>
    <col min="2560" max="2560" width="5.42578125" style="86" customWidth="1"/>
    <col min="2561" max="2561" width="31.140625" style="86" customWidth="1"/>
    <col min="2562" max="2578" width="7.5703125" style="86" customWidth="1"/>
    <col min="2579" max="2579" width="11" style="86" customWidth="1"/>
    <col min="2580" max="2582" width="7.5703125" style="86" customWidth="1"/>
    <col min="2583" max="2584" width="10.7109375" style="86" customWidth="1"/>
    <col min="2585" max="2585" width="11" style="86" customWidth="1"/>
    <col min="2586" max="2588" width="10.7109375" style="86" customWidth="1"/>
    <col min="2589" max="2589" width="9.140625" style="86"/>
    <col min="2590" max="2591" width="7.5703125" style="86" customWidth="1"/>
    <col min="2592" max="2815" width="9.140625" style="86"/>
    <col min="2816" max="2816" width="5.42578125" style="86" customWidth="1"/>
    <col min="2817" max="2817" width="31.140625" style="86" customWidth="1"/>
    <col min="2818" max="2834" width="7.5703125" style="86" customWidth="1"/>
    <col min="2835" max="2835" width="11" style="86" customWidth="1"/>
    <col min="2836" max="2838" width="7.5703125" style="86" customWidth="1"/>
    <col min="2839" max="2840" width="10.7109375" style="86" customWidth="1"/>
    <col min="2841" max="2841" width="11" style="86" customWidth="1"/>
    <col min="2842" max="2844" width="10.7109375" style="86" customWidth="1"/>
    <col min="2845" max="2845" width="9.140625" style="86"/>
    <col min="2846" max="2847" width="7.5703125" style="86" customWidth="1"/>
    <col min="2848" max="3071" width="9.140625" style="86"/>
    <col min="3072" max="3072" width="5.42578125" style="86" customWidth="1"/>
    <col min="3073" max="3073" width="31.140625" style="86" customWidth="1"/>
    <col min="3074" max="3090" width="7.5703125" style="86" customWidth="1"/>
    <col min="3091" max="3091" width="11" style="86" customWidth="1"/>
    <col min="3092" max="3094" width="7.5703125" style="86" customWidth="1"/>
    <col min="3095" max="3096" width="10.7109375" style="86" customWidth="1"/>
    <col min="3097" max="3097" width="11" style="86" customWidth="1"/>
    <col min="3098" max="3100" width="10.7109375" style="86" customWidth="1"/>
    <col min="3101" max="3101" width="9.140625" style="86"/>
    <col min="3102" max="3103" width="7.5703125" style="86" customWidth="1"/>
    <col min="3104" max="3327" width="9.140625" style="86"/>
    <col min="3328" max="3328" width="5.42578125" style="86" customWidth="1"/>
    <col min="3329" max="3329" width="31.140625" style="86" customWidth="1"/>
    <col min="3330" max="3346" width="7.5703125" style="86" customWidth="1"/>
    <col min="3347" max="3347" width="11" style="86" customWidth="1"/>
    <col min="3348" max="3350" width="7.5703125" style="86" customWidth="1"/>
    <col min="3351" max="3352" width="10.7109375" style="86" customWidth="1"/>
    <col min="3353" max="3353" width="11" style="86" customWidth="1"/>
    <col min="3354" max="3356" width="10.7109375" style="86" customWidth="1"/>
    <col min="3357" max="3357" width="9.140625" style="86"/>
    <col min="3358" max="3359" width="7.5703125" style="86" customWidth="1"/>
    <col min="3360" max="3583" width="9.140625" style="86"/>
    <col min="3584" max="3584" width="5.42578125" style="86" customWidth="1"/>
    <col min="3585" max="3585" width="31.140625" style="86" customWidth="1"/>
    <col min="3586" max="3602" width="7.5703125" style="86" customWidth="1"/>
    <col min="3603" max="3603" width="11" style="86" customWidth="1"/>
    <col min="3604" max="3606" width="7.5703125" style="86" customWidth="1"/>
    <col min="3607" max="3608" width="10.7109375" style="86" customWidth="1"/>
    <col min="3609" max="3609" width="11" style="86" customWidth="1"/>
    <col min="3610" max="3612" width="10.7109375" style="86" customWidth="1"/>
    <col min="3613" max="3613" width="9.140625" style="86"/>
    <col min="3614" max="3615" width="7.5703125" style="86" customWidth="1"/>
    <col min="3616" max="3839" width="9.140625" style="86"/>
    <col min="3840" max="3840" width="5.42578125" style="86" customWidth="1"/>
    <col min="3841" max="3841" width="31.140625" style="86" customWidth="1"/>
    <col min="3842" max="3858" width="7.5703125" style="86" customWidth="1"/>
    <col min="3859" max="3859" width="11" style="86" customWidth="1"/>
    <col min="3860" max="3862" width="7.5703125" style="86" customWidth="1"/>
    <col min="3863" max="3864" width="10.7109375" style="86" customWidth="1"/>
    <col min="3865" max="3865" width="11" style="86" customWidth="1"/>
    <col min="3866" max="3868" width="10.7109375" style="86" customWidth="1"/>
    <col min="3869" max="3869" width="9.140625" style="86"/>
    <col min="3870" max="3871" width="7.5703125" style="86" customWidth="1"/>
    <col min="3872" max="4095" width="9.140625" style="86"/>
    <col min="4096" max="4096" width="5.42578125" style="86" customWidth="1"/>
    <col min="4097" max="4097" width="31.140625" style="86" customWidth="1"/>
    <col min="4098" max="4114" width="7.5703125" style="86" customWidth="1"/>
    <col min="4115" max="4115" width="11" style="86" customWidth="1"/>
    <col min="4116" max="4118" width="7.5703125" style="86" customWidth="1"/>
    <col min="4119" max="4120" width="10.7109375" style="86" customWidth="1"/>
    <col min="4121" max="4121" width="11" style="86" customWidth="1"/>
    <col min="4122" max="4124" width="10.7109375" style="86" customWidth="1"/>
    <col min="4125" max="4125" width="9.140625" style="86"/>
    <col min="4126" max="4127" width="7.5703125" style="86" customWidth="1"/>
    <col min="4128" max="4351" width="9.140625" style="86"/>
    <col min="4352" max="4352" width="5.42578125" style="86" customWidth="1"/>
    <col min="4353" max="4353" width="31.140625" style="86" customWidth="1"/>
    <col min="4354" max="4370" width="7.5703125" style="86" customWidth="1"/>
    <col min="4371" max="4371" width="11" style="86" customWidth="1"/>
    <col min="4372" max="4374" width="7.5703125" style="86" customWidth="1"/>
    <col min="4375" max="4376" width="10.7109375" style="86" customWidth="1"/>
    <col min="4377" max="4377" width="11" style="86" customWidth="1"/>
    <col min="4378" max="4380" width="10.7109375" style="86" customWidth="1"/>
    <col min="4381" max="4381" width="9.140625" style="86"/>
    <col min="4382" max="4383" width="7.5703125" style="86" customWidth="1"/>
    <col min="4384" max="4607" width="9.140625" style="86"/>
    <col min="4608" max="4608" width="5.42578125" style="86" customWidth="1"/>
    <col min="4609" max="4609" width="31.140625" style="86" customWidth="1"/>
    <col min="4610" max="4626" width="7.5703125" style="86" customWidth="1"/>
    <col min="4627" max="4627" width="11" style="86" customWidth="1"/>
    <col min="4628" max="4630" width="7.5703125" style="86" customWidth="1"/>
    <col min="4631" max="4632" width="10.7109375" style="86" customWidth="1"/>
    <col min="4633" max="4633" width="11" style="86" customWidth="1"/>
    <col min="4634" max="4636" width="10.7109375" style="86" customWidth="1"/>
    <col min="4637" max="4637" width="9.140625" style="86"/>
    <col min="4638" max="4639" width="7.5703125" style="86" customWidth="1"/>
    <col min="4640" max="4863" width="9.140625" style="86"/>
    <col min="4864" max="4864" width="5.42578125" style="86" customWidth="1"/>
    <col min="4865" max="4865" width="31.140625" style="86" customWidth="1"/>
    <col min="4866" max="4882" width="7.5703125" style="86" customWidth="1"/>
    <col min="4883" max="4883" width="11" style="86" customWidth="1"/>
    <col min="4884" max="4886" width="7.5703125" style="86" customWidth="1"/>
    <col min="4887" max="4888" width="10.7109375" style="86" customWidth="1"/>
    <col min="4889" max="4889" width="11" style="86" customWidth="1"/>
    <col min="4890" max="4892" width="10.7109375" style="86" customWidth="1"/>
    <col min="4893" max="4893" width="9.140625" style="86"/>
    <col min="4894" max="4895" width="7.5703125" style="86" customWidth="1"/>
    <col min="4896" max="5119" width="9.140625" style="86"/>
    <col min="5120" max="5120" width="5.42578125" style="86" customWidth="1"/>
    <col min="5121" max="5121" width="31.140625" style="86" customWidth="1"/>
    <col min="5122" max="5138" width="7.5703125" style="86" customWidth="1"/>
    <col min="5139" max="5139" width="11" style="86" customWidth="1"/>
    <col min="5140" max="5142" width="7.5703125" style="86" customWidth="1"/>
    <col min="5143" max="5144" width="10.7109375" style="86" customWidth="1"/>
    <col min="5145" max="5145" width="11" style="86" customWidth="1"/>
    <col min="5146" max="5148" width="10.7109375" style="86" customWidth="1"/>
    <col min="5149" max="5149" width="9.140625" style="86"/>
    <col min="5150" max="5151" width="7.5703125" style="86" customWidth="1"/>
    <col min="5152" max="5375" width="9.140625" style="86"/>
    <col min="5376" max="5376" width="5.42578125" style="86" customWidth="1"/>
    <col min="5377" max="5377" width="31.140625" style="86" customWidth="1"/>
    <col min="5378" max="5394" width="7.5703125" style="86" customWidth="1"/>
    <col min="5395" max="5395" width="11" style="86" customWidth="1"/>
    <col min="5396" max="5398" width="7.5703125" style="86" customWidth="1"/>
    <col min="5399" max="5400" width="10.7109375" style="86" customWidth="1"/>
    <col min="5401" max="5401" width="11" style="86" customWidth="1"/>
    <col min="5402" max="5404" width="10.7109375" style="86" customWidth="1"/>
    <col min="5405" max="5405" width="9.140625" style="86"/>
    <col min="5406" max="5407" width="7.5703125" style="86" customWidth="1"/>
    <col min="5408" max="5631" width="9.140625" style="86"/>
    <col min="5632" max="5632" width="5.42578125" style="86" customWidth="1"/>
    <col min="5633" max="5633" width="31.140625" style="86" customWidth="1"/>
    <col min="5634" max="5650" width="7.5703125" style="86" customWidth="1"/>
    <col min="5651" max="5651" width="11" style="86" customWidth="1"/>
    <col min="5652" max="5654" width="7.5703125" style="86" customWidth="1"/>
    <col min="5655" max="5656" width="10.7109375" style="86" customWidth="1"/>
    <col min="5657" max="5657" width="11" style="86" customWidth="1"/>
    <col min="5658" max="5660" width="10.7109375" style="86" customWidth="1"/>
    <col min="5661" max="5661" width="9.140625" style="86"/>
    <col min="5662" max="5663" width="7.5703125" style="86" customWidth="1"/>
    <col min="5664" max="5887" width="9.140625" style="86"/>
    <col min="5888" max="5888" width="5.42578125" style="86" customWidth="1"/>
    <col min="5889" max="5889" width="31.140625" style="86" customWidth="1"/>
    <col min="5890" max="5906" width="7.5703125" style="86" customWidth="1"/>
    <col min="5907" max="5907" width="11" style="86" customWidth="1"/>
    <col min="5908" max="5910" width="7.5703125" style="86" customWidth="1"/>
    <col min="5911" max="5912" width="10.7109375" style="86" customWidth="1"/>
    <col min="5913" max="5913" width="11" style="86" customWidth="1"/>
    <col min="5914" max="5916" width="10.7109375" style="86" customWidth="1"/>
    <col min="5917" max="5917" width="9.140625" style="86"/>
    <col min="5918" max="5919" width="7.5703125" style="86" customWidth="1"/>
    <col min="5920" max="6143" width="9.140625" style="86"/>
    <col min="6144" max="6144" width="5.42578125" style="86" customWidth="1"/>
    <col min="6145" max="6145" width="31.140625" style="86" customWidth="1"/>
    <col min="6146" max="6162" width="7.5703125" style="86" customWidth="1"/>
    <col min="6163" max="6163" width="11" style="86" customWidth="1"/>
    <col min="6164" max="6166" width="7.5703125" style="86" customWidth="1"/>
    <col min="6167" max="6168" width="10.7109375" style="86" customWidth="1"/>
    <col min="6169" max="6169" width="11" style="86" customWidth="1"/>
    <col min="6170" max="6172" width="10.7109375" style="86" customWidth="1"/>
    <col min="6173" max="6173" width="9.140625" style="86"/>
    <col min="6174" max="6175" width="7.5703125" style="86" customWidth="1"/>
    <col min="6176" max="6399" width="9.140625" style="86"/>
    <col min="6400" max="6400" width="5.42578125" style="86" customWidth="1"/>
    <col min="6401" max="6401" width="31.140625" style="86" customWidth="1"/>
    <col min="6402" max="6418" width="7.5703125" style="86" customWidth="1"/>
    <col min="6419" max="6419" width="11" style="86" customWidth="1"/>
    <col min="6420" max="6422" width="7.5703125" style="86" customWidth="1"/>
    <col min="6423" max="6424" width="10.7109375" style="86" customWidth="1"/>
    <col min="6425" max="6425" width="11" style="86" customWidth="1"/>
    <col min="6426" max="6428" width="10.7109375" style="86" customWidth="1"/>
    <col min="6429" max="6429" width="9.140625" style="86"/>
    <col min="6430" max="6431" width="7.5703125" style="86" customWidth="1"/>
    <col min="6432" max="6655" width="9.140625" style="86"/>
    <col min="6656" max="6656" width="5.42578125" style="86" customWidth="1"/>
    <col min="6657" max="6657" width="31.140625" style="86" customWidth="1"/>
    <col min="6658" max="6674" width="7.5703125" style="86" customWidth="1"/>
    <col min="6675" max="6675" width="11" style="86" customWidth="1"/>
    <col min="6676" max="6678" width="7.5703125" style="86" customWidth="1"/>
    <col min="6679" max="6680" width="10.7109375" style="86" customWidth="1"/>
    <col min="6681" max="6681" width="11" style="86" customWidth="1"/>
    <col min="6682" max="6684" width="10.7109375" style="86" customWidth="1"/>
    <col min="6685" max="6685" width="9.140625" style="86"/>
    <col min="6686" max="6687" width="7.5703125" style="86" customWidth="1"/>
    <col min="6688" max="6911" width="9.140625" style="86"/>
    <col min="6912" max="6912" width="5.42578125" style="86" customWidth="1"/>
    <col min="6913" max="6913" width="31.140625" style="86" customWidth="1"/>
    <col min="6914" max="6930" width="7.5703125" style="86" customWidth="1"/>
    <col min="6931" max="6931" width="11" style="86" customWidth="1"/>
    <col min="6932" max="6934" width="7.5703125" style="86" customWidth="1"/>
    <col min="6935" max="6936" width="10.7109375" style="86" customWidth="1"/>
    <col min="6937" max="6937" width="11" style="86" customWidth="1"/>
    <col min="6938" max="6940" width="10.7109375" style="86" customWidth="1"/>
    <col min="6941" max="6941" width="9.140625" style="86"/>
    <col min="6942" max="6943" width="7.5703125" style="86" customWidth="1"/>
    <col min="6944" max="7167" width="9.140625" style="86"/>
    <col min="7168" max="7168" width="5.42578125" style="86" customWidth="1"/>
    <col min="7169" max="7169" width="31.140625" style="86" customWidth="1"/>
    <col min="7170" max="7186" width="7.5703125" style="86" customWidth="1"/>
    <col min="7187" max="7187" width="11" style="86" customWidth="1"/>
    <col min="7188" max="7190" width="7.5703125" style="86" customWidth="1"/>
    <col min="7191" max="7192" width="10.7109375" style="86" customWidth="1"/>
    <col min="7193" max="7193" width="11" style="86" customWidth="1"/>
    <col min="7194" max="7196" width="10.7109375" style="86" customWidth="1"/>
    <col min="7197" max="7197" width="9.140625" style="86"/>
    <col min="7198" max="7199" width="7.5703125" style="86" customWidth="1"/>
    <col min="7200" max="7423" width="9.140625" style="86"/>
    <col min="7424" max="7424" width="5.42578125" style="86" customWidth="1"/>
    <col min="7425" max="7425" width="31.140625" style="86" customWidth="1"/>
    <col min="7426" max="7442" width="7.5703125" style="86" customWidth="1"/>
    <col min="7443" max="7443" width="11" style="86" customWidth="1"/>
    <col min="7444" max="7446" width="7.5703125" style="86" customWidth="1"/>
    <col min="7447" max="7448" width="10.7109375" style="86" customWidth="1"/>
    <col min="7449" max="7449" width="11" style="86" customWidth="1"/>
    <col min="7450" max="7452" width="10.7109375" style="86" customWidth="1"/>
    <col min="7453" max="7453" width="9.140625" style="86"/>
    <col min="7454" max="7455" width="7.5703125" style="86" customWidth="1"/>
    <col min="7456" max="7679" width="9.140625" style="86"/>
    <col min="7680" max="7680" width="5.42578125" style="86" customWidth="1"/>
    <col min="7681" max="7681" width="31.140625" style="86" customWidth="1"/>
    <col min="7682" max="7698" width="7.5703125" style="86" customWidth="1"/>
    <col min="7699" max="7699" width="11" style="86" customWidth="1"/>
    <col min="7700" max="7702" width="7.5703125" style="86" customWidth="1"/>
    <col min="7703" max="7704" width="10.7109375" style="86" customWidth="1"/>
    <col min="7705" max="7705" width="11" style="86" customWidth="1"/>
    <col min="7706" max="7708" width="10.7109375" style="86" customWidth="1"/>
    <col min="7709" max="7709" width="9.140625" style="86"/>
    <col min="7710" max="7711" width="7.5703125" style="86" customWidth="1"/>
    <col min="7712" max="7935" width="9.140625" style="86"/>
    <col min="7936" max="7936" width="5.42578125" style="86" customWidth="1"/>
    <col min="7937" max="7937" width="31.140625" style="86" customWidth="1"/>
    <col min="7938" max="7954" width="7.5703125" style="86" customWidth="1"/>
    <col min="7955" max="7955" width="11" style="86" customWidth="1"/>
    <col min="7956" max="7958" width="7.5703125" style="86" customWidth="1"/>
    <col min="7959" max="7960" width="10.7109375" style="86" customWidth="1"/>
    <col min="7961" max="7961" width="11" style="86" customWidth="1"/>
    <col min="7962" max="7964" width="10.7109375" style="86" customWidth="1"/>
    <col min="7965" max="7965" width="9.140625" style="86"/>
    <col min="7966" max="7967" width="7.5703125" style="86" customWidth="1"/>
    <col min="7968" max="8191" width="9.140625" style="86"/>
    <col min="8192" max="8192" width="5.42578125" style="86" customWidth="1"/>
    <col min="8193" max="8193" width="31.140625" style="86" customWidth="1"/>
    <col min="8194" max="8210" width="7.5703125" style="86" customWidth="1"/>
    <col min="8211" max="8211" width="11" style="86" customWidth="1"/>
    <col min="8212" max="8214" width="7.5703125" style="86" customWidth="1"/>
    <col min="8215" max="8216" width="10.7109375" style="86" customWidth="1"/>
    <col min="8217" max="8217" width="11" style="86" customWidth="1"/>
    <col min="8218" max="8220" width="10.7109375" style="86" customWidth="1"/>
    <col min="8221" max="8221" width="9.140625" style="86"/>
    <col min="8222" max="8223" width="7.5703125" style="86" customWidth="1"/>
    <col min="8224" max="8447" width="9.140625" style="86"/>
    <col min="8448" max="8448" width="5.42578125" style="86" customWidth="1"/>
    <col min="8449" max="8449" width="31.140625" style="86" customWidth="1"/>
    <col min="8450" max="8466" width="7.5703125" style="86" customWidth="1"/>
    <col min="8467" max="8467" width="11" style="86" customWidth="1"/>
    <col min="8468" max="8470" width="7.5703125" style="86" customWidth="1"/>
    <col min="8471" max="8472" width="10.7109375" style="86" customWidth="1"/>
    <col min="8473" max="8473" width="11" style="86" customWidth="1"/>
    <col min="8474" max="8476" width="10.7109375" style="86" customWidth="1"/>
    <col min="8477" max="8477" width="9.140625" style="86"/>
    <col min="8478" max="8479" width="7.5703125" style="86" customWidth="1"/>
    <col min="8480" max="8703" width="9.140625" style="86"/>
    <col min="8704" max="8704" width="5.42578125" style="86" customWidth="1"/>
    <col min="8705" max="8705" width="31.140625" style="86" customWidth="1"/>
    <col min="8706" max="8722" width="7.5703125" style="86" customWidth="1"/>
    <col min="8723" max="8723" width="11" style="86" customWidth="1"/>
    <col min="8724" max="8726" width="7.5703125" style="86" customWidth="1"/>
    <col min="8727" max="8728" width="10.7109375" style="86" customWidth="1"/>
    <col min="8729" max="8729" width="11" style="86" customWidth="1"/>
    <col min="8730" max="8732" width="10.7109375" style="86" customWidth="1"/>
    <col min="8733" max="8733" width="9.140625" style="86"/>
    <col min="8734" max="8735" width="7.5703125" style="86" customWidth="1"/>
    <col min="8736" max="8959" width="9.140625" style="86"/>
    <col min="8960" max="8960" width="5.42578125" style="86" customWidth="1"/>
    <col min="8961" max="8961" width="31.140625" style="86" customWidth="1"/>
    <col min="8962" max="8978" width="7.5703125" style="86" customWidth="1"/>
    <col min="8979" max="8979" width="11" style="86" customWidth="1"/>
    <col min="8980" max="8982" width="7.5703125" style="86" customWidth="1"/>
    <col min="8983" max="8984" width="10.7109375" style="86" customWidth="1"/>
    <col min="8985" max="8985" width="11" style="86" customWidth="1"/>
    <col min="8986" max="8988" width="10.7109375" style="86" customWidth="1"/>
    <col min="8989" max="8989" width="9.140625" style="86"/>
    <col min="8990" max="8991" width="7.5703125" style="86" customWidth="1"/>
    <col min="8992" max="9215" width="9.140625" style="86"/>
    <col min="9216" max="9216" width="5.42578125" style="86" customWidth="1"/>
    <col min="9217" max="9217" width="31.140625" style="86" customWidth="1"/>
    <col min="9218" max="9234" width="7.5703125" style="86" customWidth="1"/>
    <col min="9235" max="9235" width="11" style="86" customWidth="1"/>
    <col min="9236" max="9238" width="7.5703125" style="86" customWidth="1"/>
    <col min="9239" max="9240" width="10.7109375" style="86" customWidth="1"/>
    <col min="9241" max="9241" width="11" style="86" customWidth="1"/>
    <col min="9242" max="9244" width="10.7109375" style="86" customWidth="1"/>
    <col min="9245" max="9245" width="9.140625" style="86"/>
    <col min="9246" max="9247" width="7.5703125" style="86" customWidth="1"/>
    <col min="9248" max="9471" width="9.140625" style="86"/>
    <col min="9472" max="9472" width="5.42578125" style="86" customWidth="1"/>
    <col min="9473" max="9473" width="31.140625" style="86" customWidth="1"/>
    <col min="9474" max="9490" width="7.5703125" style="86" customWidth="1"/>
    <col min="9491" max="9491" width="11" style="86" customWidth="1"/>
    <col min="9492" max="9494" width="7.5703125" style="86" customWidth="1"/>
    <col min="9495" max="9496" width="10.7109375" style="86" customWidth="1"/>
    <col min="9497" max="9497" width="11" style="86" customWidth="1"/>
    <col min="9498" max="9500" width="10.7109375" style="86" customWidth="1"/>
    <col min="9501" max="9501" width="9.140625" style="86"/>
    <col min="9502" max="9503" width="7.5703125" style="86" customWidth="1"/>
    <col min="9504" max="9727" width="9.140625" style="86"/>
    <col min="9728" max="9728" width="5.42578125" style="86" customWidth="1"/>
    <col min="9729" max="9729" width="31.140625" style="86" customWidth="1"/>
    <col min="9730" max="9746" width="7.5703125" style="86" customWidth="1"/>
    <col min="9747" max="9747" width="11" style="86" customWidth="1"/>
    <col min="9748" max="9750" width="7.5703125" style="86" customWidth="1"/>
    <col min="9751" max="9752" width="10.7109375" style="86" customWidth="1"/>
    <col min="9753" max="9753" width="11" style="86" customWidth="1"/>
    <col min="9754" max="9756" width="10.7109375" style="86" customWidth="1"/>
    <col min="9757" max="9757" width="9.140625" style="86"/>
    <col min="9758" max="9759" width="7.5703125" style="86" customWidth="1"/>
    <col min="9760" max="9983" width="9.140625" style="86"/>
    <col min="9984" max="9984" width="5.42578125" style="86" customWidth="1"/>
    <col min="9985" max="9985" width="31.140625" style="86" customWidth="1"/>
    <col min="9986" max="10002" width="7.5703125" style="86" customWidth="1"/>
    <col min="10003" max="10003" width="11" style="86" customWidth="1"/>
    <col min="10004" max="10006" width="7.5703125" style="86" customWidth="1"/>
    <col min="10007" max="10008" width="10.7109375" style="86" customWidth="1"/>
    <col min="10009" max="10009" width="11" style="86" customWidth="1"/>
    <col min="10010" max="10012" width="10.7109375" style="86" customWidth="1"/>
    <col min="10013" max="10013" width="9.140625" style="86"/>
    <col min="10014" max="10015" width="7.5703125" style="86" customWidth="1"/>
    <col min="10016" max="10239" width="9.140625" style="86"/>
    <col min="10240" max="10240" width="5.42578125" style="86" customWidth="1"/>
    <col min="10241" max="10241" width="31.140625" style="86" customWidth="1"/>
    <col min="10242" max="10258" width="7.5703125" style="86" customWidth="1"/>
    <col min="10259" max="10259" width="11" style="86" customWidth="1"/>
    <col min="10260" max="10262" width="7.5703125" style="86" customWidth="1"/>
    <col min="10263" max="10264" width="10.7109375" style="86" customWidth="1"/>
    <col min="10265" max="10265" width="11" style="86" customWidth="1"/>
    <col min="10266" max="10268" width="10.7109375" style="86" customWidth="1"/>
    <col min="10269" max="10269" width="9.140625" style="86"/>
    <col min="10270" max="10271" width="7.5703125" style="86" customWidth="1"/>
    <col min="10272" max="10495" width="9.140625" style="86"/>
    <col min="10496" max="10496" width="5.42578125" style="86" customWidth="1"/>
    <col min="10497" max="10497" width="31.140625" style="86" customWidth="1"/>
    <col min="10498" max="10514" width="7.5703125" style="86" customWidth="1"/>
    <col min="10515" max="10515" width="11" style="86" customWidth="1"/>
    <col min="10516" max="10518" width="7.5703125" style="86" customWidth="1"/>
    <col min="10519" max="10520" width="10.7109375" style="86" customWidth="1"/>
    <col min="10521" max="10521" width="11" style="86" customWidth="1"/>
    <col min="10522" max="10524" width="10.7109375" style="86" customWidth="1"/>
    <col min="10525" max="10525" width="9.140625" style="86"/>
    <col min="10526" max="10527" width="7.5703125" style="86" customWidth="1"/>
    <col min="10528" max="10751" width="9.140625" style="86"/>
    <col min="10752" max="10752" width="5.42578125" style="86" customWidth="1"/>
    <col min="10753" max="10753" width="31.140625" style="86" customWidth="1"/>
    <col min="10754" max="10770" width="7.5703125" style="86" customWidth="1"/>
    <col min="10771" max="10771" width="11" style="86" customWidth="1"/>
    <col min="10772" max="10774" width="7.5703125" style="86" customWidth="1"/>
    <col min="10775" max="10776" width="10.7109375" style="86" customWidth="1"/>
    <col min="10777" max="10777" width="11" style="86" customWidth="1"/>
    <col min="10778" max="10780" width="10.7109375" style="86" customWidth="1"/>
    <col min="10781" max="10781" width="9.140625" style="86"/>
    <col min="10782" max="10783" width="7.5703125" style="86" customWidth="1"/>
    <col min="10784" max="11007" width="9.140625" style="86"/>
    <col min="11008" max="11008" width="5.42578125" style="86" customWidth="1"/>
    <col min="11009" max="11009" width="31.140625" style="86" customWidth="1"/>
    <col min="11010" max="11026" width="7.5703125" style="86" customWidth="1"/>
    <col min="11027" max="11027" width="11" style="86" customWidth="1"/>
    <col min="11028" max="11030" width="7.5703125" style="86" customWidth="1"/>
    <col min="11031" max="11032" width="10.7109375" style="86" customWidth="1"/>
    <col min="11033" max="11033" width="11" style="86" customWidth="1"/>
    <col min="11034" max="11036" width="10.7109375" style="86" customWidth="1"/>
    <col min="11037" max="11037" width="9.140625" style="86"/>
    <col min="11038" max="11039" width="7.5703125" style="86" customWidth="1"/>
    <col min="11040" max="11263" width="9.140625" style="86"/>
    <col min="11264" max="11264" width="5.42578125" style="86" customWidth="1"/>
    <col min="11265" max="11265" width="31.140625" style="86" customWidth="1"/>
    <col min="11266" max="11282" width="7.5703125" style="86" customWidth="1"/>
    <col min="11283" max="11283" width="11" style="86" customWidth="1"/>
    <col min="11284" max="11286" width="7.5703125" style="86" customWidth="1"/>
    <col min="11287" max="11288" width="10.7109375" style="86" customWidth="1"/>
    <col min="11289" max="11289" width="11" style="86" customWidth="1"/>
    <col min="11290" max="11292" width="10.7109375" style="86" customWidth="1"/>
    <col min="11293" max="11293" width="9.140625" style="86"/>
    <col min="11294" max="11295" width="7.5703125" style="86" customWidth="1"/>
    <col min="11296" max="11519" width="9.140625" style="86"/>
    <col min="11520" max="11520" width="5.42578125" style="86" customWidth="1"/>
    <col min="11521" max="11521" width="31.140625" style="86" customWidth="1"/>
    <col min="11522" max="11538" width="7.5703125" style="86" customWidth="1"/>
    <col min="11539" max="11539" width="11" style="86" customWidth="1"/>
    <col min="11540" max="11542" width="7.5703125" style="86" customWidth="1"/>
    <col min="11543" max="11544" width="10.7109375" style="86" customWidth="1"/>
    <col min="11545" max="11545" width="11" style="86" customWidth="1"/>
    <col min="11546" max="11548" width="10.7109375" style="86" customWidth="1"/>
    <col min="11549" max="11549" width="9.140625" style="86"/>
    <col min="11550" max="11551" width="7.5703125" style="86" customWidth="1"/>
    <col min="11552" max="11775" width="9.140625" style="86"/>
    <col min="11776" max="11776" width="5.42578125" style="86" customWidth="1"/>
    <col min="11777" max="11777" width="31.140625" style="86" customWidth="1"/>
    <col min="11778" max="11794" width="7.5703125" style="86" customWidth="1"/>
    <col min="11795" max="11795" width="11" style="86" customWidth="1"/>
    <col min="11796" max="11798" width="7.5703125" style="86" customWidth="1"/>
    <col min="11799" max="11800" width="10.7109375" style="86" customWidth="1"/>
    <col min="11801" max="11801" width="11" style="86" customWidth="1"/>
    <col min="11802" max="11804" width="10.7109375" style="86" customWidth="1"/>
    <col min="11805" max="11805" width="9.140625" style="86"/>
    <col min="11806" max="11807" width="7.5703125" style="86" customWidth="1"/>
    <col min="11808" max="12031" width="9.140625" style="86"/>
    <col min="12032" max="12032" width="5.42578125" style="86" customWidth="1"/>
    <col min="12033" max="12033" width="31.140625" style="86" customWidth="1"/>
    <col min="12034" max="12050" width="7.5703125" style="86" customWidth="1"/>
    <col min="12051" max="12051" width="11" style="86" customWidth="1"/>
    <col min="12052" max="12054" width="7.5703125" style="86" customWidth="1"/>
    <col min="12055" max="12056" width="10.7109375" style="86" customWidth="1"/>
    <col min="12057" max="12057" width="11" style="86" customWidth="1"/>
    <col min="12058" max="12060" width="10.7109375" style="86" customWidth="1"/>
    <col min="12061" max="12061" width="9.140625" style="86"/>
    <col min="12062" max="12063" width="7.5703125" style="86" customWidth="1"/>
    <col min="12064" max="12287" width="9.140625" style="86"/>
    <col min="12288" max="12288" width="5.42578125" style="86" customWidth="1"/>
    <col min="12289" max="12289" width="31.140625" style="86" customWidth="1"/>
    <col min="12290" max="12306" width="7.5703125" style="86" customWidth="1"/>
    <col min="12307" max="12307" width="11" style="86" customWidth="1"/>
    <col min="12308" max="12310" width="7.5703125" style="86" customWidth="1"/>
    <col min="12311" max="12312" width="10.7109375" style="86" customWidth="1"/>
    <col min="12313" max="12313" width="11" style="86" customWidth="1"/>
    <col min="12314" max="12316" width="10.7109375" style="86" customWidth="1"/>
    <col min="12317" max="12317" width="9.140625" style="86"/>
    <col min="12318" max="12319" width="7.5703125" style="86" customWidth="1"/>
    <col min="12320" max="12543" width="9.140625" style="86"/>
    <col min="12544" max="12544" width="5.42578125" style="86" customWidth="1"/>
    <col min="12545" max="12545" width="31.140625" style="86" customWidth="1"/>
    <col min="12546" max="12562" width="7.5703125" style="86" customWidth="1"/>
    <col min="12563" max="12563" width="11" style="86" customWidth="1"/>
    <col min="12564" max="12566" width="7.5703125" style="86" customWidth="1"/>
    <col min="12567" max="12568" width="10.7109375" style="86" customWidth="1"/>
    <col min="12569" max="12569" width="11" style="86" customWidth="1"/>
    <col min="12570" max="12572" width="10.7109375" style="86" customWidth="1"/>
    <col min="12573" max="12573" width="9.140625" style="86"/>
    <col min="12574" max="12575" width="7.5703125" style="86" customWidth="1"/>
    <col min="12576" max="12799" width="9.140625" style="86"/>
    <col min="12800" max="12800" width="5.42578125" style="86" customWidth="1"/>
    <col min="12801" max="12801" width="31.140625" style="86" customWidth="1"/>
    <col min="12802" max="12818" width="7.5703125" style="86" customWidth="1"/>
    <col min="12819" max="12819" width="11" style="86" customWidth="1"/>
    <col min="12820" max="12822" width="7.5703125" style="86" customWidth="1"/>
    <col min="12823" max="12824" width="10.7109375" style="86" customWidth="1"/>
    <col min="12825" max="12825" width="11" style="86" customWidth="1"/>
    <col min="12826" max="12828" width="10.7109375" style="86" customWidth="1"/>
    <col min="12829" max="12829" width="9.140625" style="86"/>
    <col min="12830" max="12831" width="7.5703125" style="86" customWidth="1"/>
    <col min="12832" max="13055" width="9.140625" style="86"/>
    <col min="13056" max="13056" width="5.42578125" style="86" customWidth="1"/>
    <col min="13057" max="13057" width="31.140625" style="86" customWidth="1"/>
    <col min="13058" max="13074" width="7.5703125" style="86" customWidth="1"/>
    <col min="13075" max="13075" width="11" style="86" customWidth="1"/>
    <col min="13076" max="13078" width="7.5703125" style="86" customWidth="1"/>
    <col min="13079" max="13080" width="10.7109375" style="86" customWidth="1"/>
    <col min="13081" max="13081" width="11" style="86" customWidth="1"/>
    <col min="13082" max="13084" width="10.7109375" style="86" customWidth="1"/>
    <col min="13085" max="13085" width="9.140625" style="86"/>
    <col min="13086" max="13087" width="7.5703125" style="86" customWidth="1"/>
    <col min="13088" max="13311" width="9.140625" style="86"/>
    <col min="13312" max="13312" width="5.42578125" style="86" customWidth="1"/>
    <col min="13313" max="13313" width="31.140625" style="86" customWidth="1"/>
    <col min="13314" max="13330" width="7.5703125" style="86" customWidth="1"/>
    <col min="13331" max="13331" width="11" style="86" customWidth="1"/>
    <col min="13332" max="13334" width="7.5703125" style="86" customWidth="1"/>
    <col min="13335" max="13336" width="10.7109375" style="86" customWidth="1"/>
    <col min="13337" max="13337" width="11" style="86" customWidth="1"/>
    <col min="13338" max="13340" width="10.7109375" style="86" customWidth="1"/>
    <col min="13341" max="13341" width="9.140625" style="86"/>
    <col min="13342" max="13343" width="7.5703125" style="86" customWidth="1"/>
    <col min="13344" max="13567" width="9.140625" style="86"/>
    <col min="13568" max="13568" width="5.42578125" style="86" customWidth="1"/>
    <col min="13569" max="13569" width="31.140625" style="86" customWidth="1"/>
    <col min="13570" max="13586" width="7.5703125" style="86" customWidth="1"/>
    <col min="13587" max="13587" width="11" style="86" customWidth="1"/>
    <col min="13588" max="13590" width="7.5703125" style="86" customWidth="1"/>
    <col min="13591" max="13592" width="10.7109375" style="86" customWidth="1"/>
    <col min="13593" max="13593" width="11" style="86" customWidth="1"/>
    <col min="13594" max="13596" width="10.7109375" style="86" customWidth="1"/>
    <col min="13597" max="13597" width="9.140625" style="86"/>
    <col min="13598" max="13599" width="7.5703125" style="86" customWidth="1"/>
    <col min="13600" max="13823" width="9.140625" style="86"/>
    <col min="13824" max="13824" width="5.42578125" style="86" customWidth="1"/>
    <col min="13825" max="13825" width="31.140625" style="86" customWidth="1"/>
    <col min="13826" max="13842" width="7.5703125" style="86" customWidth="1"/>
    <col min="13843" max="13843" width="11" style="86" customWidth="1"/>
    <col min="13844" max="13846" width="7.5703125" style="86" customWidth="1"/>
    <col min="13847" max="13848" width="10.7109375" style="86" customWidth="1"/>
    <col min="13849" max="13849" width="11" style="86" customWidth="1"/>
    <col min="13850" max="13852" width="10.7109375" style="86" customWidth="1"/>
    <col min="13853" max="13853" width="9.140625" style="86"/>
    <col min="13854" max="13855" width="7.5703125" style="86" customWidth="1"/>
    <col min="13856" max="14079" width="9.140625" style="86"/>
    <col min="14080" max="14080" width="5.42578125" style="86" customWidth="1"/>
    <col min="14081" max="14081" width="31.140625" style="86" customWidth="1"/>
    <col min="14082" max="14098" width="7.5703125" style="86" customWidth="1"/>
    <col min="14099" max="14099" width="11" style="86" customWidth="1"/>
    <col min="14100" max="14102" width="7.5703125" style="86" customWidth="1"/>
    <col min="14103" max="14104" width="10.7109375" style="86" customWidth="1"/>
    <col min="14105" max="14105" width="11" style="86" customWidth="1"/>
    <col min="14106" max="14108" width="10.7109375" style="86" customWidth="1"/>
    <col min="14109" max="14109" width="9.140625" style="86"/>
    <col min="14110" max="14111" width="7.5703125" style="86" customWidth="1"/>
    <col min="14112" max="14335" width="9.140625" style="86"/>
    <col min="14336" max="14336" width="5.42578125" style="86" customWidth="1"/>
    <col min="14337" max="14337" width="31.140625" style="86" customWidth="1"/>
    <col min="14338" max="14354" width="7.5703125" style="86" customWidth="1"/>
    <col min="14355" max="14355" width="11" style="86" customWidth="1"/>
    <col min="14356" max="14358" width="7.5703125" style="86" customWidth="1"/>
    <col min="14359" max="14360" width="10.7109375" style="86" customWidth="1"/>
    <col min="14361" max="14361" width="11" style="86" customWidth="1"/>
    <col min="14362" max="14364" width="10.7109375" style="86" customWidth="1"/>
    <col min="14365" max="14365" width="9.140625" style="86"/>
    <col min="14366" max="14367" width="7.5703125" style="86" customWidth="1"/>
    <col min="14368" max="14591" width="9.140625" style="86"/>
    <col min="14592" max="14592" width="5.42578125" style="86" customWidth="1"/>
    <col min="14593" max="14593" width="31.140625" style="86" customWidth="1"/>
    <col min="14594" max="14610" width="7.5703125" style="86" customWidth="1"/>
    <col min="14611" max="14611" width="11" style="86" customWidth="1"/>
    <col min="14612" max="14614" width="7.5703125" style="86" customWidth="1"/>
    <col min="14615" max="14616" width="10.7109375" style="86" customWidth="1"/>
    <col min="14617" max="14617" width="11" style="86" customWidth="1"/>
    <col min="14618" max="14620" width="10.7109375" style="86" customWidth="1"/>
    <col min="14621" max="14621" width="9.140625" style="86"/>
    <col min="14622" max="14623" width="7.5703125" style="86" customWidth="1"/>
    <col min="14624" max="14847" width="9.140625" style="86"/>
    <col min="14848" max="14848" width="5.42578125" style="86" customWidth="1"/>
    <col min="14849" max="14849" width="31.140625" style="86" customWidth="1"/>
    <col min="14850" max="14866" width="7.5703125" style="86" customWidth="1"/>
    <col min="14867" max="14867" width="11" style="86" customWidth="1"/>
    <col min="14868" max="14870" width="7.5703125" style="86" customWidth="1"/>
    <col min="14871" max="14872" width="10.7109375" style="86" customWidth="1"/>
    <col min="14873" max="14873" width="11" style="86" customWidth="1"/>
    <col min="14874" max="14876" width="10.7109375" style="86" customWidth="1"/>
    <col min="14877" max="14877" width="9.140625" style="86"/>
    <col min="14878" max="14879" width="7.5703125" style="86" customWidth="1"/>
    <col min="14880" max="15103" width="9.140625" style="86"/>
    <col min="15104" max="15104" width="5.42578125" style="86" customWidth="1"/>
    <col min="15105" max="15105" width="31.140625" style="86" customWidth="1"/>
    <col min="15106" max="15122" width="7.5703125" style="86" customWidth="1"/>
    <col min="15123" max="15123" width="11" style="86" customWidth="1"/>
    <col min="15124" max="15126" width="7.5703125" style="86" customWidth="1"/>
    <col min="15127" max="15128" width="10.7109375" style="86" customWidth="1"/>
    <col min="15129" max="15129" width="11" style="86" customWidth="1"/>
    <col min="15130" max="15132" width="10.7109375" style="86" customWidth="1"/>
    <col min="15133" max="15133" width="9.140625" style="86"/>
    <col min="15134" max="15135" width="7.5703125" style="86" customWidth="1"/>
    <col min="15136" max="15359" width="9.140625" style="86"/>
    <col min="15360" max="15360" width="5.42578125" style="86" customWidth="1"/>
    <col min="15361" max="15361" width="31.140625" style="86" customWidth="1"/>
    <col min="15362" max="15378" width="7.5703125" style="86" customWidth="1"/>
    <col min="15379" max="15379" width="11" style="86" customWidth="1"/>
    <col min="15380" max="15382" width="7.5703125" style="86" customWidth="1"/>
    <col min="15383" max="15384" width="10.7109375" style="86" customWidth="1"/>
    <col min="15385" max="15385" width="11" style="86" customWidth="1"/>
    <col min="15386" max="15388" width="10.7109375" style="86" customWidth="1"/>
    <col min="15389" max="15389" width="9.140625" style="86"/>
    <col min="15390" max="15391" width="7.5703125" style="86" customWidth="1"/>
    <col min="15392" max="15615" width="9.140625" style="86"/>
    <col min="15616" max="15616" width="5.42578125" style="86" customWidth="1"/>
    <col min="15617" max="15617" width="31.140625" style="86" customWidth="1"/>
    <col min="15618" max="15634" width="7.5703125" style="86" customWidth="1"/>
    <col min="15635" max="15635" width="11" style="86" customWidth="1"/>
    <col min="15636" max="15638" width="7.5703125" style="86" customWidth="1"/>
    <col min="15639" max="15640" width="10.7109375" style="86" customWidth="1"/>
    <col min="15641" max="15641" width="11" style="86" customWidth="1"/>
    <col min="15642" max="15644" width="10.7109375" style="86" customWidth="1"/>
    <col min="15645" max="15645" width="9.140625" style="86"/>
    <col min="15646" max="15647" width="7.5703125" style="86" customWidth="1"/>
    <col min="15648" max="15871" width="9.140625" style="86"/>
    <col min="15872" max="15872" width="5.42578125" style="86" customWidth="1"/>
    <col min="15873" max="15873" width="31.140625" style="86" customWidth="1"/>
    <col min="15874" max="15890" width="7.5703125" style="86" customWidth="1"/>
    <col min="15891" max="15891" width="11" style="86" customWidth="1"/>
    <col min="15892" max="15894" width="7.5703125" style="86" customWidth="1"/>
    <col min="15895" max="15896" width="10.7109375" style="86" customWidth="1"/>
    <col min="15897" max="15897" width="11" style="86" customWidth="1"/>
    <col min="15898" max="15900" width="10.7109375" style="86" customWidth="1"/>
    <col min="15901" max="15901" width="9.140625" style="86"/>
    <col min="15902" max="15903" width="7.5703125" style="86" customWidth="1"/>
    <col min="15904" max="16127" width="9.140625" style="86"/>
    <col min="16128" max="16128" width="5.42578125" style="86" customWidth="1"/>
    <col min="16129" max="16129" width="31.140625" style="86" customWidth="1"/>
    <col min="16130" max="16146" width="7.5703125" style="86" customWidth="1"/>
    <col min="16147" max="16147" width="11" style="86" customWidth="1"/>
    <col min="16148" max="16150" width="7.5703125" style="86" customWidth="1"/>
    <col min="16151" max="16152" width="10.7109375" style="86" customWidth="1"/>
    <col min="16153" max="16153" width="11" style="86" customWidth="1"/>
    <col min="16154" max="16156" width="10.7109375" style="86" customWidth="1"/>
    <col min="16157" max="16157" width="9.140625" style="86"/>
    <col min="16158" max="16159" width="7.5703125" style="86" customWidth="1"/>
    <col min="16160" max="16384" width="9.140625" style="86"/>
  </cols>
  <sheetData>
    <row r="1" spans="1:481" s="132" customFormat="1" ht="12.75">
      <c r="A1" s="131" t="s">
        <v>489</v>
      </c>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row>
    <row r="2" spans="1:481">
      <c r="A2" s="133" t="s">
        <v>490</v>
      </c>
      <c r="B2" s="133"/>
      <c r="C2" s="133"/>
      <c r="D2" s="133"/>
      <c r="E2" s="133"/>
      <c r="F2" s="133"/>
      <c r="O2" s="87"/>
      <c r="AF2" s="88"/>
    </row>
    <row r="3" spans="1:481" ht="22.5">
      <c r="A3" s="136" t="s">
        <v>491</v>
      </c>
      <c r="B3" s="137"/>
      <c r="C3" s="89" t="s">
        <v>492</v>
      </c>
      <c r="D3" s="89" t="s">
        <v>34</v>
      </c>
      <c r="E3" s="89" t="s">
        <v>493</v>
      </c>
      <c r="F3" s="89" t="s">
        <v>39</v>
      </c>
      <c r="G3" s="89" t="s">
        <v>238</v>
      </c>
      <c r="H3" s="138" t="s">
        <v>239</v>
      </c>
      <c r="I3" s="139" t="s">
        <v>40</v>
      </c>
      <c r="J3" s="89" t="s">
        <v>494</v>
      </c>
      <c r="K3" s="89" t="s">
        <v>43</v>
      </c>
      <c r="L3" s="87" t="s">
        <v>228</v>
      </c>
      <c r="M3" s="89" t="s">
        <v>495</v>
      </c>
      <c r="N3" s="89" t="s">
        <v>240</v>
      </c>
      <c r="O3" s="89" t="s">
        <v>496</v>
      </c>
      <c r="P3" s="89" t="s">
        <v>45</v>
      </c>
      <c r="Q3" s="89" t="s">
        <v>242</v>
      </c>
      <c r="R3" s="87" t="s">
        <v>52</v>
      </c>
      <c r="S3" s="89" t="s">
        <v>49</v>
      </c>
      <c r="T3" s="139" t="s">
        <v>243</v>
      </c>
      <c r="U3" s="139" t="s">
        <v>244</v>
      </c>
      <c r="V3" s="139" t="s">
        <v>497</v>
      </c>
      <c r="W3" s="139" t="s">
        <v>498</v>
      </c>
      <c r="X3" s="139" t="s">
        <v>245</v>
      </c>
      <c r="Y3" s="139" t="s">
        <v>246</v>
      </c>
      <c r="Z3" s="139" t="s">
        <v>53</v>
      </c>
      <c r="AA3" s="139" t="s">
        <v>417</v>
      </c>
      <c r="AB3" s="89" t="s">
        <v>603</v>
      </c>
      <c r="AC3" s="139" t="s">
        <v>499</v>
      </c>
      <c r="AD3" s="139" t="s">
        <v>500</v>
      </c>
      <c r="AE3" s="140"/>
      <c r="AF3" s="89" t="s">
        <v>501</v>
      </c>
      <c r="AG3" s="89" t="s">
        <v>342</v>
      </c>
      <c r="AH3" s="90" t="s">
        <v>343</v>
      </c>
    </row>
    <row r="4" spans="1:481">
      <c r="A4" s="141"/>
      <c r="B4" s="142"/>
      <c r="C4" s="143">
        <v>2006</v>
      </c>
      <c r="D4" s="143" t="s">
        <v>35</v>
      </c>
      <c r="E4" s="143">
        <v>2013</v>
      </c>
      <c r="F4" s="173">
        <v>2015</v>
      </c>
      <c r="G4" s="143">
        <v>2001</v>
      </c>
      <c r="H4" s="144" t="s">
        <v>41</v>
      </c>
      <c r="I4" s="173" t="s">
        <v>41</v>
      </c>
      <c r="J4" s="143" t="s">
        <v>41</v>
      </c>
      <c r="K4" s="143" t="s">
        <v>44</v>
      </c>
      <c r="L4" s="143">
        <v>2013</v>
      </c>
      <c r="M4" s="143" t="s">
        <v>515</v>
      </c>
      <c r="N4" s="143">
        <v>2005</v>
      </c>
      <c r="O4" s="143" t="s">
        <v>48</v>
      </c>
      <c r="P4" s="143">
        <v>2016</v>
      </c>
      <c r="Q4" s="143">
        <v>2009</v>
      </c>
      <c r="R4" s="86">
        <v>2003</v>
      </c>
      <c r="S4" s="143">
        <v>2014</v>
      </c>
      <c r="T4" s="143" t="s">
        <v>516</v>
      </c>
      <c r="U4" s="173" t="s">
        <v>41</v>
      </c>
      <c r="V4" s="143" t="s">
        <v>51</v>
      </c>
      <c r="W4" s="143">
        <v>2013</v>
      </c>
      <c r="X4" s="143">
        <v>1999</v>
      </c>
      <c r="Y4" s="143" t="s">
        <v>247</v>
      </c>
      <c r="Z4" s="173" t="s">
        <v>41</v>
      </c>
      <c r="AA4" s="173">
        <v>2010</v>
      </c>
      <c r="AB4" s="143" t="s">
        <v>54</v>
      </c>
      <c r="AC4" s="173" t="s">
        <v>55</v>
      </c>
      <c r="AD4" s="173">
        <v>2016</v>
      </c>
      <c r="AE4" s="140"/>
      <c r="AF4" s="143">
        <v>2008</v>
      </c>
      <c r="AG4" s="143">
        <v>1999</v>
      </c>
      <c r="AH4" s="144">
        <v>2010</v>
      </c>
    </row>
    <row r="5" spans="1:481" s="149" customFormat="1">
      <c r="A5" s="145">
        <v>1</v>
      </c>
      <c r="B5" s="146" t="s">
        <v>3</v>
      </c>
      <c r="C5" s="147">
        <v>238.16539263377345</v>
      </c>
      <c r="D5" s="147">
        <v>306.43021760278043</v>
      </c>
      <c r="E5" s="147">
        <v>190.8674531575295</v>
      </c>
      <c r="F5" s="147">
        <v>304.64124647029814</v>
      </c>
      <c r="G5" s="147">
        <v>224.81659361993823</v>
      </c>
      <c r="H5" s="147">
        <v>255.57736623313485</v>
      </c>
      <c r="I5" s="147">
        <v>229.09699899999998</v>
      </c>
      <c r="J5" s="148">
        <v>204.16514446634596</v>
      </c>
      <c r="K5" s="147">
        <v>247.88114899999997</v>
      </c>
      <c r="L5" s="147">
        <v>181.87369882026368</v>
      </c>
      <c r="M5" s="147">
        <v>277.19249478804727</v>
      </c>
      <c r="N5" s="147">
        <v>270.6018396949857</v>
      </c>
      <c r="O5" s="148">
        <v>176.70905816185982</v>
      </c>
      <c r="P5" s="148">
        <v>379.44005801687803</v>
      </c>
      <c r="Q5" s="147">
        <v>348.23418517079921</v>
      </c>
      <c r="R5" s="147">
        <v>329.93842687466713</v>
      </c>
      <c r="S5" s="147">
        <v>358.63001979063824</v>
      </c>
      <c r="T5" s="148">
        <v>280.69476318359375</v>
      </c>
      <c r="U5" s="147">
        <v>270</v>
      </c>
      <c r="V5" s="147">
        <v>241.265064</v>
      </c>
      <c r="W5" s="147">
        <v>218.09128630705396</v>
      </c>
      <c r="X5" s="147">
        <v>295.04895104895104</v>
      </c>
      <c r="Y5" s="147">
        <v>264.63245492371703</v>
      </c>
      <c r="Z5" s="147">
        <v>202.00473289999999</v>
      </c>
      <c r="AA5" s="147">
        <v>274.21986313729707</v>
      </c>
      <c r="AB5" s="147">
        <v>199.69337979243474</v>
      </c>
      <c r="AC5" s="148">
        <v>262.26490986792737</v>
      </c>
      <c r="AD5" s="147">
        <v>289.50821214344205</v>
      </c>
      <c r="AE5" s="221"/>
      <c r="AF5" s="147">
        <v>339.76405274115194</v>
      </c>
      <c r="AG5" s="147">
        <v>294.97941550600137</v>
      </c>
      <c r="AH5" s="147">
        <v>240.57606000000001</v>
      </c>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c r="FE5" s="86"/>
      <c r="FF5" s="86"/>
      <c r="FG5" s="86"/>
      <c r="FH5" s="86"/>
      <c r="FI5" s="86"/>
      <c r="FJ5" s="86"/>
      <c r="FK5" s="86"/>
      <c r="FL5" s="86"/>
      <c r="FM5" s="86"/>
      <c r="FN5" s="86"/>
      <c r="FO5" s="86"/>
      <c r="FP5" s="86"/>
      <c r="FQ5" s="86"/>
      <c r="FR5" s="86"/>
      <c r="FS5" s="86"/>
      <c r="FT5" s="86"/>
      <c r="FU5" s="86"/>
      <c r="FV5" s="86"/>
      <c r="FW5" s="86"/>
      <c r="FX5" s="86"/>
      <c r="FY5" s="86"/>
      <c r="FZ5" s="86"/>
      <c r="GA5" s="86"/>
      <c r="GB5" s="86"/>
      <c r="GC5" s="86"/>
      <c r="GD5" s="86"/>
      <c r="GE5" s="86"/>
      <c r="GF5" s="86"/>
      <c r="GG5" s="86"/>
      <c r="GH5" s="86"/>
      <c r="GI5" s="86"/>
      <c r="GJ5" s="86"/>
      <c r="GK5" s="86"/>
      <c r="GL5" s="86"/>
      <c r="GM5" s="86"/>
      <c r="GN5" s="86"/>
      <c r="GO5" s="86"/>
      <c r="GP5" s="86"/>
      <c r="GQ5" s="86"/>
      <c r="GR5" s="86"/>
      <c r="GS5" s="86"/>
      <c r="GT5" s="86"/>
      <c r="GU5" s="86"/>
      <c r="GV5" s="86"/>
      <c r="GW5" s="86"/>
      <c r="GX5" s="86"/>
      <c r="GY5" s="86"/>
      <c r="GZ5" s="86"/>
      <c r="HA5" s="86"/>
      <c r="HB5" s="86"/>
      <c r="HC5" s="86"/>
      <c r="HD5" s="86"/>
      <c r="HE5" s="86"/>
      <c r="HF5" s="86"/>
      <c r="HG5" s="86"/>
      <c r="HH5" s="86"/>
      <c r="HI5" s="86"/>
      <c r="HJ5" s="86"/>
      <c r="HK5" s="86"/>
      <c r="HL5" s="86"/>
      <c r="HM5" s="86"/>
      <c r="HN5" s="86"/>
      <c r="HO5" s="86"/>
      <c r="HP5" s="86"/>
      <c r="HQ5" s="86"/>
      <c r="HR5" s="86"/>
      <c r="HS5" s="86"/>
      <c r="HT5" s="86"/>
      <c r="HU5" s="86"/>
      <c r="HV5" s="86"/>
      <c r="HW5" s="86"/>
      <c r="HX5" s="86"/>
      <c r="HY5" s="86"/>
      <c r="HZ5" s="86"/>
      <c r="IA5" s="86"/>
      <c r="IB5" s="86"/>
      <c r="IC5" s="86"/>
      <c r="ID5" s="86"/>
      <c r="IE5" s="86"/>
      <c r="IF5" s="86"/>
      <c r="IG5" s="86"/>
      <c r="IH5" s="86"/>
      <c r="II5" s="86"/>
      <c r="IJ5" s="86"/>
      <c r="IK5" s="86"/>
      <c r="IL5" s="86"/>
      <c r="IM5" s="86"/>
      <c r="IN5" s="86"/>
      <c r="IO5" s="86"/>
      <c r="IP5" s="86"/>
      <c r="IQ5" s="86"/>
      <c r="IR5" s="86"/>
      <c r="IS5" s="86"/>
      <c r="IT5" s="86"/>
      <c r="IU5" s="86"/>
      <c r="IV5" s="86"/>
      <c r="IW5" s="86"/>
      <c r="IX5" s="86"/>
      <c r="IY5" s="86"/>
      <c r="IZ5" s="86"/>
      <c r="JA5" s="86"/>
      <c r="JB5" s="86"/>
      <c r="JC5" s="86"/>
      <c r="JD5" s="86"/>
      <c r="JE5" s="86"/>
      <c r="JF5" s="86"/>
      <c r="JG5" s="86"/>
      <c r="JH5" s="86"/>
      <c r="JI5" s="86"/>
      <c r="JJ5" s="86"/>
      <c r="JK5" s="86"/>
      <c r="JL5" s="86"/>
      <c r="JM5" s="86"/>
      <c r="JN5" s="86"/>
      <c r="JO5" s="86"/>
      <c r="JP5" s="86"/>
      <c r="JQ5" s="86"/>
      <c r="JR5" s="86"/>
      <c r="JS5" s="86"/>
      <c r="JT5" s="86"/>
      <c r="JU5" s="86"/>
      <c r="JV5" s="86"/>
      <c r="JW5" s="86"/>
      <c r="JX5" s="86"/>
      <c r="JY5" s="86"/>
      <c r="JZ5" s="86"/>
      <c r="KA5" s="86"/>
      <c r="KB5" s="86"/>
      <c r="KC5" s="86"/>
      <c r="KD5" s="86"/>
      <c r="KE5" s="86"/>
      <c r="KF5" s="86"/>
      <c r="KG5" s="86"/>
      <c r="KH5" s="86"/>
      <c r="KI5" s="86"/>
      <c r="KJ5" s="86"/>
      <c r="KK5" s="86"/>
      <c r="KL5" s="86"/>
      <c r="KM5" s="86"/>
      <c r="KN5" s="86"/>
      <c r="KO5" s="86"/>
      <c r="KP5" s="86"/>
      <c r="KQ5" s="86"/>
      <c r="KR5" s="86"/>
      <c r="KS5" s="86"/>
      <c r="KT5" s="86"/>
      <c r="KU5" s="86"/>
      <c r="KV5" s="86"/>
      <c r="KW5" s="86"/>
      <c r="KX5" s="86"/>
      <c r="KY5" s="86"/>
      <c r="KZ5" s="86"/>
      <c r="LA5" s="86"/>
      <c r="LB5" s="86"/>
      <c r="LC5" s="86"/>
      <c r="LD5" s="86"/>
      <c r="LE5" s="86"/>
      <c r="LF5" s="86"/>
      <c r="LG5" s="86"/>
      <c r="LH5" s="86"/>
      <c r="LI5" s="86"/>
      <c r="LJ5" s="86"/>
      <c r="LK5" s="86"/>
      <c r="LL5" s="86"/>
      <c r="LM5" s="86"/>
      <c r="LN5" s="86"/>
      <c r="LO5" s="86"/>
      <c r="LP5" s="86"/>
      <c r="LQ5" s="86"/>
      <c r="LR5" s="86"/>
      <c r="LS5" s="86"/>
      <c r="LT5" s="86"/>
      <c r="LU5" s="86"/>
      <c r="LV5" s="86"/>
      <c r="LW5" s="86"/>
      <c r="LX5" s="86"/>
      <c r="LY5" s="86"/>
      <c r="LZ5" s="86"/>
      <c r="MA5" s="86"/>
      <c r="MB5" s="86"/>
      <c r="MC5" s="86"/>
      <c r="MD5" s="86"/>
      <c r="ME5" s="86"/>
      <c r="MF5" s="86"/>
      <c r="MG5" s="86"/>
      <c r="MH5" s="86"/>
      <c r="MI5" s="86"/>
      <c r="MJ5" s="86"/>
      <c r="MK5" s="86"/>
      <c r="ML5" s="86"/>
      <c r="MM5" s="86"/>
      <c r="MN5" s="86"/>
      <c r="MO5" s="86"/>
      <c r="MP5" s="86"/>
      <c r="MQ5" s="86"/>
      <c r="MR5" s="86"/>
      <c r="MS5" s="86"/>
      <c r="MT5" s="86"/>
      <c r="MU5" s="86"/>
      <c r="MV5" s="86"/>
      <c r="MW5" s="86"/>
      <c r="MX5" s="86"/>
      <c r="MY5" s="86"/>
      <c r="MZ5" s="86"/>
      <c r="NA5" s="86"/>
      <c r="NB5" s="86"/>
      <c r="NC5" s="86"/>
      <c r="ND5" s="86"/>
      <c r="NE5" s="86"/>
      <c r="NF5" s="86"/>
      <c r="NG5" s="86"/>
      <c r="NH5" s="86"/>
      <c r="NI5" s="86"/>
      <c r="NJ5" s="86"/>
      <c r="NK5" s="86"/>
      <c r="NL5" s="86"/>
      <c r="NM5" s="86"/>
      <c r="NN5" s="86"/>
      <c r="NO5" s="86"/>
      <c r="NP5" s="86"/>
      <c r="NQ5" s="86"/>
      <c r="NR5" s="86"/>
      <c r="NS5" s="86"/>
      <c r="NT5" s="86"/>
      <c r="NU5" s="86"/>
      <c r="NV5" s="86"/>
      <c r="NW5" s="86"/>
      <c r="NX5" s="86"/>
      <c r="NY5" s="86"/>
      <c r="NZ5" s="86"/>
      <c r="OA5" s="86"/>
      <c r="OB5" s="86"/>
      <c r="OC5" s="86"/>
      <c r="OD5" s="86"/>
      <c r="OE5" s="86"/>
      <c r="OF5" s="86"/>
      <c r="OG5" s="86"/>
      <c r="OH5" s="86"/>
      <c r="OI5" s="86"/>
      <c r="OJ5" s="86"/>
      <c r="OK5" s="86"/>
      <c r="OL5" s="86"/>
      <c r="OM5" s="86"/>
      <c r="ON5" s="86"/>
      <c r="OO5" s="86"/>
      <c r="OP5" s="86"/>
      <c r="OQ5" s="86"/>
      <c r="OR5" s="86"/>
      <c r="OS5" s="86"/>
      <c r="OT5" s="86"/>
      <c r="OU5" s="86"/>
      <c r="OV5" s="86"/>
      <c r="OW5" s="86"/>
      <c r="OX5" s="86"/>
      <c r="OY5" s="86"/>
      <c r="OZ5" s="86"/>
      <c r="PA5" s="86"/>
      <c r="PB5" s="86"/>
      <c r="PC5" s="86"/>
      <c r="PD5" s="86"/>
      <c r="PE5" s="86"/>
      <c r="PF5" s="86"/>
      <c r="PG5" s="86"/>
      <c r="PH5" s="86"/>
      <c r="PI5" s="86"/>
      <c r="PJ5" s="86"/>
      <c r="PK5" s="86"/>
      <c r="PL5" s="86"/>
      <c r="PM5" s="86"/>
      <c r="PN5" s="86"/>
      <c r="PO5" s="86"/>
      <c r="PP5" s="86"/>
      <c r="PQ5" s="86"/>
      <c r="PR5" s="86"/>
      <c r="PS5" s="86"/>
      <c r="PT5" s="86"/>
      <c r="PU5" s="86"/>
      <c r="PV5" s="86"/>
      <c r="PW5" s="86"/>
      <c r="PX5" s="86"/>
      <c r="PY5" s="86"/>
      <c r="PZ5" s="86"/>
      <c r="QA5" s="86"/>
      <c r="QB5" s="86"/>
      <c r="QC5" s="86"/>
      <c r="QD5" s="86"/>
      <c r="QE5" s="86"/>
      <c r="QF5" s="86"/>
      <c r="QG5" s="86"/>
      <c r="QH5" s="86"/>
      <c r="QI5" s="86"/>
      <c r="QJ5" s="86"/>
      <c r="QK5" s="86"/>
      <c r="QL5" s="86"/>
      <c r="QM5" s="86"/>
      <c r="QN5" s="86"/>
      <c r="QO5" s="86"/>
      <c r="QP5" s="86"/>
      <c r="QQ5" s="86"/>
      <c r="QR5" s="86"/>
      <c r="QS5" s="86"/>
      <c r="QT5" s="86"/>
      <c r="QU5" s="86"/>
      <c r="QV5" s="86"/>
      <c r="QW5" s="86"/>
      <c r="QX5" s="86"/>
      <c r="QY5" s="86"/>
      <c r="QZ5" s="86"/>
      <c r="RA5" s="86"/>
      <c r="RB5" s="86"/>
      <c r="RC5" s="86"/>
      <c r="RD5" s="86"/>
      <c r="RE5" s="86"/>
      <c r="RF5" s="86"/>
      <c r="RG5" s="86"/>
      <c r="RH5" s="86"/>
      <c r="RI5" s="86"/>
      <c r="RJ5" s="86"/>
      <c r="RK5" s="86"/>
      <c r="RL5" s="86"/>
      <c r="RM5" s="86"/>
    </row>
    <row r="6" spans="1:481">
      <c r="A6" s="150">
        <v>1.1000000000000001</v>
      </c>
      <c r="B6" s="151" t="s">
        <v>4</v>
      </c>
      <c r="C6" s="138">
        <v>186.12925642807505</v>
      </c>
      <c r="D6" s="138">
        <v>247.7713</v>
      </c>
      <c r="E6" s="138">
        <v>126.91186675919501</v>
      </c>
      <c r="F6" s="138">
        <v>238.25006367977633</v>
      </c>
      <c r="G6" s="138">
        <v>176.72095918446934</v>
      </c>
      <c r="H6" s="138">
        <v>201.36443258419771</v>
      </c>
      <c r="I6" s="138">
        <v>177.1891</v>
      </c>
      <c r="J6" s="152">
        <v>144.76130848462111</v>
      </c>
      <c r="K6" s="138">
        <v>190.93699999999998</v>
      </c>
      <c r="L6" s="138">
        <v>119.91672449687718</v>
      </c>
      <c r="M6" s="138">
        <v>214.14871438498957</v>
      </c>
      <c r="N6" s="138">
        <v>210.84219486343449</v>
      </c>
      <c r="O6" s="152">
        <v>121.8345330478835</v>
      </c>
      <c r="P6" s="67">
        <v>297.10229430379746</v>
      </c>
      <c r="Q6" s="138">
        <v>224.8074648587135</v>
      </c>
      <c r="R6" s="138">
        <v>280.03068615108344</v>
      </c>
      <c r="S6" s="138">
        <v>268.66629792741537</v>
      </c>
      <c r="T6" s="152">
        <v>213.3194580078125</v>
      </c>
      <c r="U6" s="138">
        <v>217.99999999999997</v>
      </c>
      <c r="V6" s="138">
        <v>166.65219999999999</v>
      </c>
      <c r="W6" s="138">
        <v>172.28215767634856</v>
      </c>
      <c r="X6" s="138">
        <v>233.62237762237763</v>
      </c>
      <c r="Y6" s="138">
        <v>201.71983356449374</v>
      </c>
      <c r="Z6" s="138">
        <v>151.30969999999999</v>
      </c>
      <c r="AA6" s="138">
        <v>246.008698336929</v>
      </c>
      <c r="AB6" s="138">
        <v>153.53310104644481</v>
      </c>
      <c r="AC6" s="152">
        <v>193.70713094438065</v>
      </c>
      <c r="AD6" s="138">
        <v>231.91019130336781</v>
      </c>
      <c r="AE6" s="140"/>
      <c r="AF6" s="138">
        <v>267.81401804302567</v>
      </c>
      <c r="AG6" s="138">
        <v>239.51828539850592</v>
      </c>
      <c r="AH6" s="138">
        <v>152.7003</v>
      </c>
    </row>
    <row r="7" spans="1:481">
      <c r="A7" s="150">
        <v>1.2</v>
      </c>
      <c r="B7" s="151" t="s">
        <v>5</v>
      </c>
      <c r="C7" s="138">
        <v>25.017373175816541</v>
      </c>
      <c r="D7" s="138">
        <v>29.363549102780446</v>
      </c>
      <c r="E7" s="138">
        <v>21.984732824427478</v>
      </c>
      <c r="F7" s="138">
        <v>28.790462365519993</v>
      </c>
      <c r="G7" s="138">
        <v>23.050636731096279</v>
      </c>
      <c r="H7" s="138">
        <v>29.423588938741627</v>
      </c>
      <c r="I7" s="138">
        <v>20.771329999999999</v>
      </c>
      <c r="J7" s="152">
        <v>22.930911344006191</v>
      </c>
      <c r="K7" s="138">
        <v>28.380100000000002</v>
      </c>
      <c r="L7" s="138">
        <v>17.987508674531576</v>
      </c>
      <c r="M7" s="138">
        <v>30.020847810979845</v>
      </c>
      <c r="N7" s="138">
        <v>22.894492732285595</v>
      </c>
      <c r="O7" s="152">
        <v>21.329230852515245</v>
      </c>
      <c r="P7" s="67">
        <v>44.324472573839664</v>
      </c>
      <c r="Q7" s="138">
        <v>57.950368719135028</v>
      </c>
      <c r="R7" s="138">
        <v>36.527166244306741</v>
      </c>
      <c r="S7" s="138">
        <v>40.294080765857132</v>
      </c>
      <c r="T7" s="152">
        <v>28.023330688476563</v>
      </c>
      <c r="U7" s="138">
        <v>23</v>
      </c>
      <c r="V7" s="138">
        <v>29.730989999999998</v>
      </c>
      <c r="W7" s="138">
        <v>22.904564315352694</v>
      </c>
      <c r="X7" s="138">
        <v>25.174825174825177</v>
      </c>
      <c r="Y7" s="138">
        <v>24.965325936199722</v>
      </c>
      <c r="Z7" s="138">
        <v>21.434830000000002</v>
      </c>
      <c r="AA7" s="138">
        <v>18.176590001223072</v>
      </c>
      <c r="AB7" s="138" t="s">
        <v>519</v>
      </c>
      <c r="AC7" s="152">
        <v>39.168777853055737</v>
      </c>
      <c r="AD7" s="138">
        <v>21.669149187406902</v>
      </c>
      <c r="AE7" s="140"/>
      <c r="AF7" s="138">
        <v>46.967383761276892</v>
      </c>
      <c r="AG7" s="138">
        <v>32.022697414327233</v>
      </c>
      <c r="AH7" s="138">
        <v>36.102179999999997</v>
      </c>
    </row>
    <row r="8" spans="1:481">
      <c r="A8" s="150">
        <v>1.3</v>
      </c>
      <c r="B8" s="151" t="s">
        <v>6</v>
      </c>
      <c r="C8" s="138">
        <v>16.011118832522584</v>
      </c>
      <c r="D8" s="138">
        <v>26.183879999999998</v>
      </c>
      <c r="E8" s="138">
        <v>40.971547536433029</v>
      </c>
      <c r="F8" s="138">
        <v>20.897045467253172</v>
      </c>
      <c r="G8" s="138">
        <v>16.321164845099307</v>
      </c>
      <c r="H8" s="138">
        <v>23.750354926869477</v>
      </c>
      <c r="I8" s="138">
        <v>29.049119999999998</v>
      </c>
      <c r="J8" s="152">
        <v>23.727361390687015</v>
      </c>
      <c r="K8" s="138">
        <v>14.301703333333334</v>
      </c>
      <c r="L8" s="138">
        <v>25</v>
      </c>
      <c r="M8" s="138">
        <v>33.022932592077829</v>
      </c>
      <c r="N8" s="138">
        <v>36.865152099265607</v>
      </c>
      <c r="O8" s="152">
        <v>13.01561670575345</v>
      </c>
      <c r="P8" s="230">
        <v>38.013291139240501</v>
      </c>
      <c r="Q8" s="138">
        <v>56.544611630215066</v>
      </c>
      <c r="R8" s="138">
        <v>9.6898982115359686</v>
      </c>
      <c r="S8" s="138">
        <v>36.172172893529449</v>
      </c>
      <c r="T8" s="152">
        <v>27.459344863891602</v>
      </c>
      <c r="U8" s="138">
        <v>18</v>
      </c>
      <c r="V8" s="138">
        <v>32.128160000000001</v>
      </c>
      <c r="W8" s="138">
        <v>14.937759336099585</v>
      </c>
      <c r="X8" s="138">
        <v>27.18881118881119</v>
      </c>
      <c r="Y8" s="138">
        <v>20.970873786407768</v>
      </c>
      <c r="Z8" s="138">
        <v>17.858779999999999</v>
      </c>
      <c r="AA8" s="138">
        <v>10.03457479914516</v>
      </c>
      <c r="AB8" s="234">
        <v>46.160278745989935</v>
      </c>
      <c r="AC8" s="152">
        <v>13.671940217377509</v>
      </c>
      <c r="AD8" s="138">
        <v>20.606679227249529</v>
      </c>
      <c r="AE8" s="140"/>
      <c r="AF8" s="138">
        <v>24.98265093684941</v>
      </c>
      <c r="AG8" s="138">
        <v>12.009144181605688</v>
      </c>
      <c r="AH8" s="138">
        <v>25.658950000000001</v>
      </c>
    </row>
    <row r="9" spans="1:481">
      <c r="A9" s="150">
        <v>1.4</v>
      </c>
      <c r="B9" s="153" t="s">
        <v>7</v>
      </c>
      <c r="C9" s="138">
        <v>11.007644197359276</v>
      </c>
      <c r="D9" s="138">
        <v>0.71406950000000002</v>
      </c>
      <c r="E9" s="138" t="s">
        <v>248</v>
      </c>
      <c r="F9" s="138">
        <v>15.083591355146345</v>
      </c>
      <c r="G9" s="138">
        <v>8.7238328592733474</v>
      </c>
      <c r="H9" s="138">
        <v>1.03898978332602</v>
      </c>
      <c r="I9" s="138" t="s">
        <v>248</v>
      </c>
      <c r="J9" s="152">
        <v>10.37714060821574</v>
      </c>
      <c r="K9" s="138">
        <v>9.7404333333333337</v>
      </c>
      <c r="L9" s="138">
        <v>17</v>
      </c>
      <c r="M9" s="138" t="s">
        <v>248</v>
      </c>
      <c r="N9" s="138" t="s">
        <v>248</v>
      </c>
      <c r="O9" s="152">
        <v>14.798889788736966</v>
      </c>
      <c r="P9" s="230"/>
      <c r="Q9" s="138">
        <v>8.9317399627356178</v>
      </c>
      <c r="R9" s="138">
        <v>3.6906762677409524</v>
      </c>
      <c r="S9" s="138">
        <v>12.143119662279618</v>
      </c>
      <c r="T9" s="152">
        <v>11.892635345458984</v>
      </c>
      <c r="U9" s="138">
        <v>11</v>
      </c>
      <c r="V9" s="138">
        <v>8.3506839999999993</v>
      </c>
      <c r="W9" s="138">
        <v>7.9668049792531122</v>
      </c>
      <c r="X9" s="138">
        <v>9.0629370629370634</v>
      </c>
      <c r="Y9" s="138">
        <v>16.976421636615811</v>
      </c>
      <c r="Z9" s="138">
        <v>8.3775230000000001</v>
      </c>
      <c r="AA9" s="138" t="s">
        <v>248</v>
      </c>
      <c r="AB9" s="234"/>
      <c r="AC9" s="152">
        <v>13.099735796873963</v>
      </c>
      <c r="AD9" s="138">
        <v>13.119789508007891</v>
      </c>
      <c r="AE9" s="140"/>
      <c r="AF9" s="138" t="s">
        <v>248</v>
      </c>
      <c r="AG9" s="138">
        <v>11.429288511562502</v>
      </c>
      <c r="AH9" s="138">
        <v>13.15171</v>
      </c>
    </row>
    <row r="10" spans="1:481">
      <c r="A10" s="150">
        <v>1.5</v>
      </c>
      <c r="B10" s="153" t="s">
        <v>8</v>
      </c>
      <c r="C10" s="138" t="s">
        <v>248</v>
      </c>
      <c r="D10" s="138">
        <v>1.317898</v>
      </c>
      <c r="E10" s="138">
        <v>0.99930603747397639</v>
      </c>
      <c r="F10" s="138">
        <v>1.6200836026022054</v>
      </c>
      <c r="G10" s="138" t="s">
        <v>248</v>
      </c>
      <c r="H10" s="138" t="s">
        <v>248</v>
      </c>
      <c r="I10" s="138" t="s">
        <v>248</v>
      </c>
      <c r="J10" s="152">
        <v>2.0235601186031063</v>
      </c>
      <c r="K10" s="138">
        <v>0.59800066666666674</v>
      </c>
      <c r="L10" s="138">
        <v>1.9986120749479528</v>
      </c>
      <c r="M10" s="138" t="s">
        <v>248</v>
      </c>
      <c r="N10" s="138" t="s">
        <v>248</v>
      </c>
      <c r="O10" s="152">
        <v>2.5060850026540029</v>
      </c>
      <c r="P10" s="67" t="s">
        <v>248</v>
      </c>
      <c r="Q10" s="138" t="s">
        <v>248</v>
      </c>
      <c r="R10" s="138" t="s">
        <v>248</v>
      </c>
      <c r="S10" s="138">
        <v>1.354348541556736</v>
      </c>
      <c r="T10" s="152" t="s">
        <v>248</v>
      </c>
      <c r="U10" s="138" t="s">
        <v>248</v>
      </c>
      <c r="V10" s="138" t="s">
        <v>248</v>
      </c>
      <c r="W10" s="138" t="s">
        <v>248</v>
      </c>
      <c r="X10" s="138" t="s">
        <v>248</v>
      </c>
      <c r="Y10" s="138" t="s">
        <v>248</v>
      </c>
      <c r="Z10" s="138">
        <v>2.5337700000000001</v>
      </c>
      <c r="AA10" s="138" t="s">
        <v>248</v>
      </c>
      <c r="AB10" s="138" t="s">
        <v>520</v>
      </c>
      <c r="AC10" s="152">
        <v>1.7927450356366266</v>
      </c>
      <c r="AD10" s="138">
        <v>2.2024029174098905</v>
      </c>
      <c r="AE10" s="140"/>
      <c r="AF10" s="138" t="s">
        <v>248</v>
      </c>
      <c r="AG10" s="138" t="s">
        <v>248</v>
      </c>
      <c r="AH10" s="138" t="s">
        <v>248</v>
      </c>
    </row>
    <row r="11" spans="1:481">
      <c r="A11" s="150">
        <v>1.6</v>
      </c>
      <c r="B11" s="153" t="s">
        <v>9</v>
      </c>
      <c r="C11" s="138" t="s">
        <v>248</v>
      </c>
      <c r="D11" s="138">
        <v>1.079521</v>
      </c>
      <c r="E11" s="138" t="s">
        <v>248</v>
      </c>
      <c r="F11" s="138" t="s">
        <v>248</v>
      </c>
      <c r="G11" s="138" t="s">
        <v>248</v>
      </c>
      <c r="H11" s="138" t="s">
        <v>248</v>
      </c>
      <c r="I11" s="138">
        <v>2.0874489999999999</v>
      </c>
      <c r="J11" s="152">
        <v>0.34486252021277547</v>
      </c>
      <c r="K11" s="138">
        <v>3.9239116666666667</v>
      </c>
      <c r="L11" s="138"/>
      <c r="M11" s="138" t="s">
        <v>248</v>
      </c>
      <c r="N11" s="138" t="s">
        <v>248</v>
      </c>
      <c r="O11" s="152">
        <v>3.2247027643166408</v>
      </c>
      <c r="P11" s="67" t="s">
        <v>248</v>
      </c>
      <c r="Q11" s="138" t="s">
        <v>248</v>
      </c>
      <c r="R11" s="138" t="s">
        <v>248</v>
      </c>
      <c r="S11" s="138" t="s">
        <v>248</v>
      </c>
      <c r="T11" s="152" t="s">
        <v>248</v>
      </c>
      <c r="U11" s="138" t="s">
        <v>248</v>
      </c>
      <c r="V11" s="138">
        <v>4.4030300000000002</v>
      </c>
      <c r="W11" s="138" t="s">
        <v>248</v>
      </c>
      <c r="X11" s="138" t="s">
        <v>248</v>
      </c>
      <c r="Y11" s="138" t="s">
        <v>248</v>
      </c>
      <c r="Z11" s="138">
        <v>0.5</v>
      </c>
      <c r="AA11" s="138" t="s">
        <v>248</v>
      </c>
      <c r="AB11" s="138" t="s">
        <v>520</v>
      </c>
      <c r="AC11" s="152">
        <v>0.82458002060285729</v>
      </c>
      <c r="AD11" s="138">
        <v>0</v>
      </c>
      <c r="AE11" s="140"/>
      <c r="AF11" s="138" t="s">
        <v>248</v>
      </c>
      <c r="AG11" s="138" t="s">
        <v>248</v>
      </c>
      <c r="AH11" s="138">
        <v>12.96292</v>
      </c>
    </row>
    <row r="12" spans="1:481" s="149" customFormat="1">
      <c r="A12" s="145">
        <v>2</v>
      </c>
      <c r="B12" s="146" t="s">
        <v>10</v>
      </c>
      <c r="C12" s="147">
        <v>243.16886726893674</v>
      </c>
      <c r="D12" s="147">
        <v>202</v>
      </c>
      <c r="E12" s="147">
        <v>210.85357390700901</v>
      </c>
      <c r="F12" s="147">
        <v>186</v>
      </c>
      <c r="G12" s="147">
        <v>216.62734139108395</v>
      </c>
      <c r="H12" s="147">
        <v>207.68231072831324</v>
      </c>
      <c r="I12" s="147">
        <v>196.87715589999996</v>
      </c>
      <c r="J12" s="154">
        <v>181.09854971438716</v>
      </c>
      <c r="K12" s="147">
        <v>195.93102700000003</v>
      </c>
      <c r="L12" s="147">
        <v>193</v>
      </c>
      <c r="M12" s="147">
        <v>200.13898540653233</v>
      </c>
      <c r="N12" s="147">
        <v>212.5575122468266</v>
      </c>
      <c r="O12" s="148">
        <v>219.0387454375628</v>
      </c>
      <c r="P12" s="148">
        <v>129.30312499999999</v>
      </c>
      <c r="Q12" s="147">
        <v>135.80541260434691</v>
      </c>
      <c r="R12" s="147">
        <v>196.07454389135427</v>
      </c>
      <c r="S12" s="147">
        <v>269.81740043683862</v>
      </c>
      <c r="T12" s="148">
        <v>192.75839233398438</v>
      </c>
      <c r="U12" s="147">
        <v>204</v>
      </c>
      <c r="V12" s="147">
        <v>195.98424800000001</v>
      </c>
      <c r="W12" s="147">
        <v>226.05809128630705</v>
      </c>
      <c r="X12" s="147">
        <v>222.54545454545453</v>
      </c>
      <c r="Y12" s="147">
        <v>230.67961165048544</v>
      </c>
      <c r="Z12" s="147">
        <v>216.72910549999997</v>
      </c>
      <c r="AA12" s="147">
        <v>196.34673102031499</v>
      </c>
      <c r="AB12" s="147">
        <v>198.68989546804863</v>
      </c>
      <c r="AC12" s="154">
        <v>194.52788505857268</v>
      </c>
      <c r="AD12" s="147">
        <v>197.43968559601177</v>
      </c>
      <c r="AE12" s="221"/>
      <c r="AF12" s="147">
        <v>163.88619014573212</v>
      </c>
      <c r="AG12" s="147">
        <v>191.14614411902261</v>
      </c>
      <c r="AH12" s="147">
        <v>182.2847917</v>
      </c>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c r="DP12" s="86"/>
      <c r="DQ12" s="86"/>
      <c r="DR12" s="86"/>
      <c r="DS12" s="86"/>
      <c r="DT12" s="86"/>
      <c r="DU12" s="86"/>
      <c r="DV12" s="86"/>
      <c r="DW12" s="86"/>
      <c r="DX12" s="86"/>
      <c r="DY12" s="86"/>
      <c r="DZ12" s="86"/>
      <c r="EA12" s="86"/>
      <c r="EB12" s="86"/>
      <c r="EC12" s="86"/>
      <c r="ED12" s="86"/>
      <c r="EE12" s="86"/>
      <c r="EF12" s="86"/>
      <c r="EG12" s="86"/>
      <c r="EH12" s="86"/>
      <c r="EI12" s="86"/>
      <c r="EJ12" s="86"/>
      <c r="EK12" s="86"/>
      <c r="EL12" s="86"/>
      <c r="EM12" s="86"/>
      <c r="EN12" s="86"/>
      <c r="EO12" s="86"/>
      <c r="EP12" s="86"/>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6"/>
      <c r="FO12" s="86"/>
      <c r="FP12" s="86"/>
      <c r="FQ12" s="86"/>
      <c r="FR12" s="86"/>
      <c r="FS12" s="86"/>
      <c r="FT12" s="86"/>
      <c r="FU12" s="86"/>
      <c r="FV12" s="86"/>
      <c r="FW12" s="86"/>
      <c r="FX12" s="86"/>
      <c r="FY12" s="86"/>
      <c r="FZ12" s="86"/>
      <c r="GA12" s="86"/>
      <c r="GB12" s="86"/>
      <c r="GC12" s="86"/>
      <c r="GD12" s="86"/>
      <c r="GE12" s="86"/>
      <c r="GF12" s="86"/>
      <c r="GG12" s="86"/>
      <c r="GH12" s="86"/>
      <c r="GI12" s="86"/>
      <c r="GJ12" s="86"/>
      <c r="GK12" s="86"/>
      <c r="GL12" s="86"/>
      <c r="GM12" s="86"/>
      <c r="GN12" s="86"/>
      <c r="GO12" s="86"/>
      <c r="GP12" s="86"/>
      <c r="GQ12" s="86"/>
      <c r="GR12" s="86"/>
      <c r="GS12" s="86"/>
      <c r="GT12" s="86"/>
      <c r="GU12" s="86"/>
      <c r="GV12" s="86"/>
      <c r="GW12" s="86"/>
      <c r="GX12" s="86"/>
      <c r="GY12" s="86"/>
      <c r="GZ12" s="86"/>
      <c r="HA12" s="86"/>
      <c r="HB12" s="86"/>
      <c r="HC12" s="86"/>
      <c r="HD12" s="86"/>
      <c r="HE12" s="86"/>
      <c r="HF12" s="86"/>
      <c r="HG12" s="86"/>
      <c r="HH12" s="86"/>
      <c r="HI12" s="86"/>
      <c r="HJ12" s="86"/>
      <c r="HK12" s="86"/>
      <c r="HL12" s="86"/>
      <c r="HM12" s="86"/>
      <c r="HN12" s="86"/>
      <c r="HO12" s="86"/>
      <c r="HP12" s="86"/>
      <c r="HQ12" s="86"/>
      <c r="HR12" s="86"/>
      <c r="HS12" s="86"/>
      <c r="HT12" s="86"/>
      <c r="HU12" s="86"/>
      <c r="HV12" s="86"/>
      <c r="HW12" s="86"/>
      <c r="HX12" s="86"/>
      <c r="HY12" s="86"/>
      <c r="HZ12" s="86"/>
      <c r="IA12" s="86"/>
      <c r="IB12" s="86"/>
      <c r="IC12" s="86"/>
      <c r="ID12" s="86"/>
      <c r="IE12" s="86"/>
      <c r="IF12" s="86"/>
      <c r="IG12" s="86"/>
      <c r="IH12" s="86"/>
      <c r="II12" s="86"/>
      <c r="IJ12" s="86"/>
      <c r="IK12" s="86"/>
      <c r="IL12" s="86"/>
      <c r="IM12" s="86"/>
      <c r="IN12" s="86"/>
      <c r="IO12" s="86"/>
      <c r="IP12" s="86"/>
      <c r="IQ12" s="86"/>
      <c r="IR12" s="86"/>
      <c r="IS12" s="86"/>
      <c r="IT12" s="86"/>
      <c r="IU12" s="86"/>
      <c r="IV12" s="86"/>
      <c r="IW12" s="86"/>
      <c r="IX12" s="86"/>
      <c r="IY12" s="86"/>
      <c r="IZ12" s="86"/>
      <c r="JA12" s="86"/>
      <c r="JB12" s="86"/>
      <c r="JC12" s="86"/>
      <c r="JD12" s="86"/>
      <c r="JE12" s="86"/>
      <c r="JF12" s="86"/>
      <c r="JG12" s="86"/>
      <c r="JH12" s="86"/>
      <c r="JI12" s="86"/>
      <c r="JJ12" s="86"/>
      <c r="JK12" s="86"/>
      <c r="JL12" s="86"/>
      <c r="JM12" s="86"/>
      <c r="JN12" s="86"/>
      <c r="JO12" s="86"/>
      <c r="JP12" s="86"/>
      <c r="JQ12" s="86"/>
      <c r="JR12" s="86"/>
      <c r="JS12" s="86"/>
      <c r="JT12" s="86"/>
      <c r="JU12" s="86"/>
      <c r="JV12" s="86"/>
      <c r="JW12" s="86"/>
      <c r="JX12" s="86"/>
      <c r="JY12" s="86"/>
      <c r="JZ12" s="86"/>
      <c r="KA12" s="86"/>
      <c r="KB12" s="86"/>
      <c r="KC12" s="86"/>
      <c r="KD12" s="86"/>
      <c r="KE12" s="86"/>
      <c r="KF12" s="86"/>
      <c r="KG12" s="86"/>
      <c r="KH12" s="86"/>
      <c r="KI12" s="86"/>
      <c r="KJ12" s="86"/>
      <c r="KK12" s="86"/>
      <c r="KL12" s="86"/>
      <c r="KM12" s="86"/>
      <c r="KN12" s="86"/>
      <c r="KO12" s="86"/>
      <c r="KP12" s="86"/>
      <c r="KQ12" s="86"/>
      <c r="KR12" s="86"/>
      <c r="KS12" s="86"/>
      <c r="KT12" s="86"/>
      <c r="KU12" s="86"/>
      <c r="KV12" s="86"/>
      <c r="KW12" s="86"/>
      <c r="KX12" s="86"/>
      <c r="KY12" s="86"/>
      <c r="KZ12" s="86"/>
      <c r="LA12" s="86"/>
      <c r="LB12" s="86"/>
      <c r="LC12" s="86"/>
      <c r="LD12" s="86"/>
      <c r="LE12" s="86"/>
      <c r="LF12" s="86"/>
      <c r="LG12" s="86"/>
      <c r="LH12" s="86"/>
      <c r="LI12" s="86"/>
      <c r="LJ12" s="86"/>
      <c r="LK12" s="86"/>
      <c r="LL12" s="86"/>
      <c r="LM12" s="86"/>
      <c r="LN12" s="86"/>
      <c r="LO12" s="86"/>
      <c r="LP12" s="86"/>
      <c r="LQ12" s="86"/>
      <c r="LR12" s="86"/>
      <c r="LS12" s="86"/>
      <c r="LT12" s="86"/>
      <c r="LU12" s="86"/>
      <c r="LV12" s="86"/>
      <c r="LW12" s="86"/>
      <c r="LX12" s="86"/>
      <c r="LY12" s="86"/>
      <c r="LZ12" s="86"/>
      <c r="MA12" s="86"/>
      <c r="MB12" s="86"/>
      <c r="MC12" s="86"/>
      <c r="MD12" s="86"/>
      <c r="ME12" s="86"/>
      <c r="MF12" s="86"/>
      <c r="MG12" s="86"/>
      <c r="MH12" s="86"/>
      <c r="MI12" s="86"/>
      <c r="MJ12" s="86"/>
      <c r="MK12" s="86"/>
      <c r="ML12" s="86"/>
      <c r="MM12" s="86"/>
      <c r="MN12" s="86"/>
      <c r="MO12" s="86"/>
      <c r="MP12" s="86"/>
      <c r="MQ12" s="86"/>
      <c r="MR12" s="86"/>
      <c r="MS12" s="86"/>
      <c r="MT12" s="86"/>
      <c r="MU12" s="86"/>
      <c r="MV12" s="86"/>
      <c r="MW12" s="86"/>
      <c r="MX12" s="86"/>
      <c r="MY12" s="86"/>
      <c r="MZ12" s="86"/>
      <c r="NA12" s="86"/>
      <c r="NB12" s="86"/>
      <c r="NC12" s="86"/>
      <c r="ND12" s="86"/>
      <c r="NE12" s="86"/>
      <c r="NF12" s="86"/>
      <c r="NG12" s="86"/>
      <c r="NH12" s="86"/>
      <c r="NI12" s="86"/>
      <c r="NJ12" s="86"/>
      <c r="NK12" s="86"/>
      <c r="NL12" s="86"/>
      <c r="NM12" s="86"/>
      <c r="NN12" s="86"/>
      <c r="NO12" s="86"/>
      <c r="NP12" s="86"/>
      <c r="NQ12" s="86"/>
      <c r="NR12" s="86"/>
      <c r="NS12" s="86"/>
      <c r="NT12" s="86"/>
      <c r="NU12" s="86"/>
      <c r="NV12" s="86"/>
      <c r="NW12" s="86"/>
      <c r="NX12" s="86"/>
      <c r="NY12" s="86"/>
      <c r="NZ12" s="86"/>
      <c r="OA12" s="86"/>
      <c r="OB12" s="86"/>
      <c r="OC12" s="86"/>
      <c r="OD12" s="86"/>
      <c r="OE12" s="86"/>
      <c r="OF12" s="86"/>
      <c r="OG12" s="86"/>
      <c r="OH12" s="86"/>
      <c r="OI12" s="86"/>
      <c r="OJ12" s="86"/>
      <c r="OK12" s="86"/>
      <c r="OL12" s="86"/>
      <c r="OM12" s="86"/>
      <c r="ON12" s="86"/>
      <c r="OO12" s="86"/>
      <c r="OP12" s="86"/>
      <c r="OQ12" s="86"/>
      <c r="OR12" s="86"/>
      <c r="OS12" s="86"/>
      <c r="OT12" s="86"/>
      <c r="OU12" s="86"/>
      <c r="OV12" s="86"/>
      <c r="OW12" s="86"/>
      <c r="OX12" s="86"/>
      <c r="OY12" s="86"/>
      <c r="OZ12" s="86"/>
      <c r="PA12" s="86"/>
      <c r="PB12" s="86"/>
      <c r="PC12" s="86"/>
      <c r="PD12" s="86"/>
      <c r="PE12" s="86"/>
      <c r="PF12" s="86"/>
      <c r="PG12" s="86"/>
      <c r="PH12" s="86"/>
      <c r="PI12" s="86"/>
      <c r="PJ12" s="86"/>
      <c r="PK12" s="86"/>
      <c r="PL12" s="86"/>
      <c r="PM12" s="86"/>
      <c r="PN12" s="86"/>
      <c r="PO12" s="86"/>
      <c r="PP12" s="86"/>
      <c r="PQ12" s="86"/>
      <c r="PR12" s="86"/>
      <c r="PS12" s="86"/>
      <c r="PT12" s="86"/>
      <c r="PU12" s="86"/>
      <c r="PV12" s="86"/>
      <c r="PW12" s="86"/>
      <c r="PX12" s="86"/>
      <c r="PY12" s="86"/>
      <c r="PZ12" s="86"/>
      <c r="QA12" s="86"/>
      <c r="QB12" s="86"/>
      <c r="QC12" s="86"/>
      <c r="QD12" s="86"/>
      <c r="QE12" s="86"/>
      <c r="QF12" s="86"/>
      <c r="QG12" s="86"/>
      <c r="QH12" s="86"/>
      <c r="QI12" s="86"/>
      <c r="QJ12" s="86"/>
      <c r="QK12" s="86"/>
      <c r="QL12" s="86"/>
      <c r="QM12" s="86"/>
      <c r="QN12" s="86"/>
      <c r="QO12" s="86"/>
      <c r="QP12" s="86"/>
      <c r="QQ12" s="86"/>
      <c r="QR12" s="86"/>
      <c r="QS12" s="86"/>
      <c r="QT12" s="86"/>
      <c r="QU12" s="86"/>
      <c r="QV12" s="86"/>
      <c r="QW12" s="86"/>
      <c r="QX12" s="86"/>
      <c r="QY12" s="86"/>
      <c r="QZ12" s="86"/>
      <c r="RA12" s="86"/>
      <c r="RB12" s="86"/>
      <c r="RC12" s="86"/>
      <c r="RD12" s="86"/>
      <c r="RE12" s="86"/>
      <c r="RF12" s="86"/>
      <c r="RG12" s="86"/>
      <c r="RH12" s="86"/>
      <c r="RI12" s="86"/>
      <c r="RJ12" s="86"/>
      <c r="RK12" s="86"/>
      <c r="RL12" s="86"/>
      <c r="RM12" s="86"/>
    </row>
    <row r="13" spans="1:481">
      <c r="A13" s="150">
        <v>2.1</v>
      </c>
      <c r="B13" s="151" t="s">
        <v>11</v>
      </c>
      <c r="C13" s="138">
        <v>132.09173036831132</v>
      </c>
      <c r="D13" s="138">
        <v>124.59176206525849</v>
      </c>
      <c r="E13" s="138">
        <v>128.91047883414294</v>
      </c>
      <c r="F13" s="138">
        <v>114.68344777840595</v>
      </c>
      <c r="G13" s="138">
        <v>127.55955140937537</v>
      </c>
      <c r="H13" s="138">
        <v>120.66609002002623</v>
      </c>
      <c r="I13" s="138">
        <v>109.4122</v>
      </c>
      <c r="J13" s="152">
        <v>128.50020753153993</v>
      </c>
      <c r="K13" s="138">
        <v>109.35420000000001</v>
      </c>
      <c r="L13" s="138">
        <v>131.90839694656489</v>
      </c>
      <c r="M13" s="138">
        <v>128.08895066018067</v>
      </c>
      <c r="N13" s="138">
        <v>92.19470524997628</v>
      </c>
      <c r="O13" s="152">
        <v>134.71427265092865</v>
      </c>
      <c r="P13" s="67">
        <v>76.480155590717303</v>
      </c>
      <c r="Q13" s="138">
        <v>78.932398772614945</v>
      </c>
      <c r="R13" s="138">
        <v>129.98320871142414</v>
      </c>
      <c r="S13" s="138">
        <v>188.99941496848945</v>
      </c>
      <c r="T13" s="152">
        <v>97.993896484375</v>
      </c>
      <c r="U13" s="138">
        <v>110.00000000000001</v>
      </c>
      <c r="V13" s="138">
        <v>82.886830000000003</v>
      </c>
      <c r="W13" s="138">
        <v>144.39834024896265</v>
      </c>
      <c r="X13" s="138">
        <v>161.11888111888112</v>
      </c>
      <c r="Y13" s="138">
        <v>165.76976421636616</v>
      </c>
      <c r="Z13" s="138">
        <v>115.8587</v>
      </c>
      <c r="AA13" s="138">
        <v>91.770088325539263</v>
      </c>
      <c r="AB13" s="138">
        <v>118.06628223693411</v>
      </c>
      <c r="AC13" s="152">
        <v>103.6219686563652</v>
      </c>
      <c r="AD13" s="138">
        <v>101.68129618695137</v>
      </c>
      <c r="AE13" s="140"/>
      <c r="AF13" s="138">
        <v>102.92852185981958</v>
      </c>
      <c r="AG13" s="138">
        <v>148.40091167636444</v>
      </c>
      <c r="AH13" s="138">
        <v>130.30510000000001</v>
      </c>
    </row>
    <row r="14" spans="1:481">
      <c r="A14" s="150">
        <v>2.2000000000000002</v>
      </c>
      <c r="B14" s="151" t="s">
        <v>12</v>
      </c>
      <c r="C14" s="138">
        <v>29.020152883947183</v>
      </c>
      <c r="D14" s="138">
        <v>20.732446111990583</v>
      </c>
      <c r="E14" s="138">
        <v>22.984038861901457</v>
      </c>
      <c r="F14" s="138">
        <v>24.095447924296373</v>
      </c>
      <c r="G14" s="138">
        <v>26.030902859860817</v>
      </c>
      <c r="H14" s="138">
        <v>23.959772801974655</v>
      </c>
      <c r="I14" s="138">
        <v>26.156199999999998</v>
      </c>
      <c r="J14" s="152">
        <v>22.105101295604548</v>
      </c>
      <c r="K14" s="138">
        <v>32.090466666666671</v>
      </c>
      <c r="L14" s="138">
        <v>17.987508674531576</v>
      </c>
      <c r="M14" s="138">
        <v>22.015288394718553</v>
      </c>
      <c r="N14" s="138">
        <v>27.959521592139421</v>
      </c>
      <c r="O14" s="152">
        <v>27.742728221016407</v>
      </c>
      <c r="P14" s="67">
        <v>24.397784810126581</v>
      </c>
      <c r="Q14" s="138">
        <v>13.137810378734891</v>
      </c>
      <c r="R14" s="138">
        <v>15.851147895986966</v>
      </c>
      <c r="S14" s="138">
        <v>14.41102474646928</v>
      </c>
      <c r="T14" s="152">
        <v>29.307332992553711</v>
      </c>
      <c r="U14" s="138">
        <v>24</v>
      </c>
      <c r="V14" s="138">
        <v>20.440919999999998</v>
      </c>
      <c r="W14" s="138">
        <v>25.892116182572618</v>
      </c>
      <c r="X14" s="138">
        <v>15.104895104895105</v>
      </c>
      <c r="Y14" s="138">
        <v>17.975034674063799</v>
      </c>
      <c r="Z14" s="138">
        <v>25.443760000000001</v>
      </c>
      <c r="AA14" s="138">
        <v>14.53665701585364</v>
      </c>
      <c r="AB14" s="138">
        <v>12.879243040669241</v>
      </c>
      <c r="AC14" s="152">
        <v>29.412386202766559</v>
      </c>
      <c r="AD14" s="138">
        <v>22.7613891464479</v>
      </c>
      <c r="AE14" s="140"/>
      <c r="AF14" s="138">
        <v>19.986120749479529</v>
      </c>
      <c r="AG14" s="138">
        <v>11.568416441556378</v>
      </c>
      <c r="AH14" s="138">
        <v>9.4800880000000003</v>
      </c>
    </row>
    <row r="15" spans="1:481">
      <c r="A15" s="150">
        <v>2.2999999999999998</v>
      </c>
      <c r="B15" s="155" t="s">
        <v>13</v>
      </c>
      <c r="C15" s="138">
        <v>44.53092425295344</v>
      </c>
      <c r="D15" s="138">
        <v>33.88775526253324</v>
      </c>
      <c r="E15" s="138">
        <v>21.984732824427478</v>
      </c>
      <c r="F15" s="138">
        <v>29</v>
      </c>
      <c r="G15" s="138">
        <v>28.495650686690823</v>
      </c>
      <c r="H15" s="138">
        <v>27.928427598072435</v>
      </c>
      <c r="I15" s="138">
        <v>22.939862899999998</v>
      </c>
      <c r="J15" s="152">
        <v>22.116559396276116</v>
      </c>
      <c r="K15" s="138">
        <v>18.901665333333334</v>
      </c>
      <c r="L15" s="138">
        <v>16</v>
      </c>
      <c r="M15" s="138">
        <v>20.01389854065323</v>
      </c>
      <c r="N15" s="138">
        <v>61.517909217388883</v>
      </c>
      <c r="O15" s="152">
        <v>26.621509337390592</v>
      </c>
      <c r="P15" s="67" t="s">
        <v>248</v>
      </c>
      <c r="Q15" s="138">
        <v>28.975184359567514</v>
      </c>
      <c r="R15" s="138">
        <v>15</v>
      </c>
      <c r="S15" s="138">
        <v>40.787885886394058</v>
      </c>
      <c r="T15" s="152">
        <v>30.238182067871094</v>
      </c>
      <c r="U15" s="138">
        <v>30</v>
      </c>
      <c r="V15" s="138">
        <v>23</v>
      </c>
      <c r="W15" s="138">
        <v>34.854771784232369</v>
      </c>
      <c r="X15" s="138">
        <v>17.118881118881117</v>
      </c>
      <c r="Y15" s="138">
        <v>20.970873786407768</v>
      </c>
      <c r="Z15" s="138">
        <v>35</v>
      </c>
      <c r="AA15" s="138">
        <v>21.099524078535079</v>
      </c>
      <c r="AB15" s="138">
        <v>24.594544406150323</v>
      </c>
      <c r="AC15" s="152">
        <v>32.05350676738788</v>
      </c>
      <c r="AD15" s="138">
        <v>31.009298837151292</v>
      </c>
      <c r="AE15" s="140"/>
      <c r="AF15" s="138">
        <v>22.984038861901457</v>
      </c>
      <c r="AG15" s="138">
        <v>21.451138074992837</v>
      </c>
      <c r="AH15" s="138">
        <v>17.751244999999997</v>
      </c>
    </row>
    <row r="16" spans="1:481">
      <c r="A16" s="150" t="s">
        <v>0</v>
      </c>
      <c r="B16" s="155" t="s">
        <v>14</v>
      </c>
      <c r="C16" s="138" t="s">
        <v>248</v>
      </c>
      <c r="D16" s="138">
        <v>32.735221350342307</v>
      </c>
      <c r="E16" s="138">
        <v>22</v>
      </c>
      <c r="F16" s="138">
        <v>27.601648240413706</v>
      </c>
      <c r="G16" s="138" t="s">
        <v>248</v>
      </c>
      <c r="H16" s="138">
        <v>27.536424657854379</v>
      </c>
      <c r="I16" s="138">
        <v>22.134709999999998</v>
      </c>
      <c r="J16" s="152">
        <v>21.187871241844675</v>
      </c>
      <c r="K16" s="138">
        <v>17.960899999999999</v>
      </c>
      <c r="L16" s="138">
        <v>13.990284524635669</v>
      </c>
      <c r="M16" s="138">
        <v>20</v>
      </c>
      <c r="N16" s="138" t="s">
        <v>248</v>
      </c>
      <c r="O16" s="152">
        <v>24.566652258315219</v>
      </c>
      <c r="P16" s="67">
        <v>21.544448839662447</v>
      </c>
      <c r="Q16" s="138" t="s">
        <v>248</v>
      </c>
      <c r="R16" s="138">
        <v>15</v>
      </c>
      <c r="S16" s="138">
        <v>34.62295776893211</v>
      </c>
      <c r="T16" s="152">
        <v>27.657573699951172</v>
      </c>
      <c r="U16" s="138">
        <v>30</v>
      </c>
      <c r="V16" s="138">
        <v>23.27684</v>
      </c>
      <c r="W16" s="138">
        <v>32.863070539419084</v>
      </c>
      <c r="X16" s="138" t="s">
        <v>248</v>
      </c>
      <c r="Y16" s="138">
        <v>21</v>
      </c>
      <c r="Z16" s="138">
        <v>32.346319999999999</v>
      </c>
      <c r="AA16" s="138">
        <v>16.598960018924281</v>
      </c>
      <c r="AB16" s="138">
        <v>22.626704185851331</v>
      </c>
      <c r="AC16" s="152">
        <v>25.960302397205588</v>
      </c>
      <c r="AD16" s="138">
        <v>29.223288904126662</v>
      </c>
      <c r="AE16" s="140"/>
      <c r="AF16" s="138" t="s">
        <v>248</v>
      </c>
      <c r="AG16" s="138" t="s">
        <v>248</v>
      </c>
      <c r="AH16" s="138">
        <v>16.836929999999999</v>
      </c>
    </row>
    <row r="17" spans="1:481">
      <c r="A17" s="150" t="s">
        <v>1</v>
      </c>
      <c r="B17" s="155" t="s">
        <v>15</v>
      </c>
      <c r="C17" s="138" t="s">
        <v>248</v>
      </c>
      <c r="D17" s="138">
        <v>1.1525339121909388</v>
      </c>
      <c r="E17" s="138" t="s">
        <v>248</v>
      </c>
      <c r="F17" s="138">
        <v>1.3372793193151422</v>
      </c>
      <c r="G17" s="138" t="s">
        <v>248</v>
      </c>
      <c r="H17" s="138" t="s">
        <v>248</v>
      </c>
      <c r="I17" s="138">
        <v>0.80515289999999995</v>
      </c>
      <c r="J17" s="152">
        <v>0.92868815443144448</v>
      </c>
      <c r="K17" s="138">
        <v>0.94076533333333334</v>
      </c>
      <c r="L17" s="138">
        <v>2</v>
      </c>
      <c r="M17" s="138" t="s">
        <v>248</v>
      </c>
      <c r="N17" s="138" t="s">
        <v>248</v>
      </c>
      <c r="O17" s="152">
        <v>2.054866090157268</v>
      </c>
      <c r="P17" s="230">
        <v>3.4748417721518998</v>
      </c>
      <c r="Q17" s="138" t="s">
        <v>248</v>
      </c>
      <c r="R17" s="138" t="s">
        <v>248</v>
      </c>
      <c r="S17" s="138">
        <v>6.164928117461951</v>
      </c>
      <c r="T17" s="152">
        <v>2.5806069374084473</v>
      </c>
      <c r="U17" s="138" t="s">
        <v>248</v>
      </c>
      <c r="V17" s="138">
        <v>0</v>
      </c>
      <c r="W17" s="138">
        <v>1.991701244813278</v>
      </c>
      <c r="X17" s="138" t="s">
        <v>248</v>
      </c>
      <c r="Y17" s="138" t="s">
        <v>248</v>
      </c>
      <c r="Z17" s="138">
        <v>2.7745519999999999</v>
      </c>
      <c r="AA17" s="138">
        <v>4.5005640596107979</v>
      </c>
      <c r="AB17" s="138">
        <v>1.9678402202989984</v>
      </c>
      <c r="AC17" s="152">
        <v>6.0055039935301062</v>
      </c>
      <c r="AD17" s="138">
        <v>1.7685509336793399</v>
      </c>
      <c r="AE17" s="140"/>
      <c r="AF17" s="138" t="s">
        <v>248</v>
      </c>
      <c r="AG17" s="138" t="s">
        <v>248</v>
      </c>
      <c r="AH17" s="138">
        <v>0.91431499999999999</v>
      </c>
    </row>
    <row r="18" spans="1:481">
      <c r="A18" s="150">
        <v>2.4</v>
      </c>
      <c r="B18" s="155" t="s">
        <v>16</v>
      </c>
      <c r="C18" s="138" t="s">
        <v>248</v>
      </c>
      <c r="D18" s="138">
        <v>0.78990107404032073</v>
      </c>
      <c r="E18" s="138" t="s">
        <v>248</v>
      </c>
      <c r="F18" s="138">
        <v>4.3925418636955014</v>
      </c>
      <c r="G18" s="138">
        <v>9.8399139169451768</v>
      </c>
      <c r="H18" s="138">
        <v>10.168367392005671</v>
      </c>
      <c r="I18" s="138">
        <v>3.1949649999999998</v>
      </c>
      <c r="J18" s="152">
        <v>1.9716921155630656</v>
      </c>
      <c r="K18" s="138">
        <v>6.352783333333333</v>
      </c>
      <c r="L18" s="138">
        <v>6.9951422623178345</v>
      </c>
      <c r="M18" s="138" t="s">
        <v>248</v>
      </c>
      <c r="N18" s="138" t="s">
        <v>248</v>
      </c>
      <c r="O18" s="152">
        <v>6.6223061631664057</v>
      </c>
      <c r="P18" s="230"/>
      <c r="Q18" s="138">
        <v>0.42492131782356518</v>
      </c>
      <c r="R18" s="138">
        <v>11.298587937506312</v>
      </c>
      <c r="S18" s="138">
        <v>13.395587293524102</v>
      </c>
      <c r="T18" s="152" t="s">
        <v>248</v>
      </c>
      <c r="U18" s="138">
        <v>8</v>
      </c>
      <c r="V18" s="138">
        <v>0</v>
      </c>
      <c r="W18" s="138">
        <v>8.9626556016597512</v>
      </c>
      <c r="X18" s="138">
        <v>7.0489510489510492</v>
      </c>
      <c r="Y18" s="138">
        <v>6.9902912621359219</v>
      </c>
      <c r="Z18" s="138">
        <v>5.6682269999999999</v>
      </c>
      <c r="AA18" s="138" t="s">
        <v>248</v>
      </c>
      <c r="AB18" s="234">
        <v>43.14982578429494</v>
      </c>
      <c r="AC18" s="152">
        <v>6.5941895188265658</v>
      </c>
      <c r="AD18" s="138">
        <v>4.2243298415876307</v>
      </c>
      <c r="AE18" s="140"/>
      <c r="AF18" s="138">
        <v>1.9986120749479528</v>
      </c>
      <c r="AG18" s="138">
        <v>1.1764475435982551</v>
      </c>
      <c r="AH18" s="138">
        <v>0.63028169999999994</v>
      </c>
    </row>
    <row r="19" spans="1:481">
      <c r="A19" s="150">
        <v>2.5</v>
      </c>
      <c r="B19" s="155" t="s">
        <v>17</v>
      </c>
      <c r="C19" s="138">
        <v>5.5038220986796382</v>
      </c>
      <c r="D19" s="138">
        <v>3.8356070986882957</v>
      </c>
      <c r="E19" s="138">
        <v>5.9958362248438579</v>
      </c>
      <c r="F19" s="138">
        <v>3</v>
      </c>
      <c r="G19" s="138">
        <v>2.6782481149332913</v>
      </c>
      <c r="H19" s="138">
        <v>2.0108212520005453</v>
      </c>
      <c r="I19" s="138">
        <v>3.587208</v>
      </c>
      <c r="J19" s="152" t="s">
        <v>248</v>
      </c>
      <c r="K19" s="138">
        <v>6.0297233333333331</v>
      </c>
      <c r="L19" s="138">
        <v>0</v>
      </c>
      <c r="M19" s="138">
        <v>0</v>
      </c>
      <c r="N19" s="138">
        <v>7.9908834550364194</v>
      </c>
      <c r="O19" s="152">
        <v>2.558667669222674</v>
      </c>
      <c r="P19" s="67">
        <v>3.4058939873417722</v>
      </c>
      <c r="Q19" s="138">
        <v>0.6896184607990179</v>
      </c>
      <c r="R19" s="138">
        <v>0</v>
      </c>
      <c r="S19" s="138">
        <v>2.2795779696312821</v>
      </c>
      <c r="T19" s="152">
        <v>20.102203369140625</v>
      </c>
      <c r="U19" s="138">
        <v>5</v>
      </c>
      <c r="V19" s="138">
        <v>6.1876379999999997</v>
      </c>
      <c r="W19" s="138">
        <v>11.950207468879668</v>
      </c>
      <c r="X19" s="138">
        <v>2.013986013986016</v>
      </c>
      <c r="Y19" s="138">
        <v>0.9986130374479889</v>
      </c>
      <c r="Z19" s="138">
        <v>0.88865649999999996</v>
      </c>
      <c r="AA19" s="138" t="s">
        <v>248</v>
      </c>
      <c r="AB19" s="234"/>
      <c r="AC19" s="152">
        <v>3</v>
      </c>
      <c r="AD19" s="138">
        <v>6.030729773847634</v>
      </c>
      <c r="AE19" s="140"/>
      <c r="AF19" s="138">
        <v>0.99930603747397639</v>
      </c>
      <c r="AG19" s="138">
        <v>0.25789098030651336</v>
      </c>
      <c r="AH19" s="138">
        <v>1.5754950000000001</v>
      </c>
    </row>
    <row r="20" spans="1:481">
      <c r="A20" s="150">
        <v>2.6</v>
      </c>
      <c r="B20" s="153" t="s">
        <v>18</v>
      </c>
      <c r="C20" s="138">
        <v>32.022237665045168</v>
      </c>
      <c r="D20" s="138">
        <v>16.726628537542545</v>
      </c>
      <c r="E20" s="138">
        <v>30.978487161693266</v>
      </c>
      <c r="F20" s="138">
        <v>10.393487460172024</v>
      </c>
      <c r="G20" s="138">
        <v>22.023074403278443</v>
      </c>
      <c r="H20" s="138">
        <v>22.948831664233687</v>
      </c>
      <c r="I20" s="138">
        <v>21.387869999999999</v>
      </c>
      <c r="J20" s="152">
        <v>5.5820863271722816</v>
      </c>
      <c r="K20" s="138">
        <v>20.281416666666665</v>
      </c>
      <c r="L20" s="138">
        <v>19.986120749479529</v>
      </c>
      <c r="M20" s="138">
        <v>30.020847810979845</v>
      </c>
      <c r="N20" s="138">
        <v>22.894492732285595</v>
      </c>
      <c r="O20" s="152">
        <v>20.519915550318132</v>
      </c>
      <c r="P20" s="67" t="s">
        <v>46</v>
      </c>
      <c r="Q20" s="138">
        <v>13.645479314806932</v>
      </c>
      <c r="R20" s="138">
        <v>24.190282168466112</v>
      </c>
      <c r="S20" s="138">
        <v>9.9439095723305009</v>
      </c>
      <c r="T20" s="152">
        <v>15.116785049438477</v>
      </c>
      <c r="U20" s="138">
        <v>28</v>
      </c>
      <c r="V20" s="138">
        <v>23.620830000000002</v>
      </c>
      <c r="W20" s="138" t="s">
        <v>46</v>
      </c>
      <c r="X20" s="138">
        <v>20.13986013986014</v>
      </c>
      <c r="Y20" s="138">
        <v>17.975034674063799</v>
      </c>
      <c r="Z20" s="138">
        <v>21.72777</v>
      </c>
      <c r="AA20" s="138">
        <v>16.405826819100302</v>
      </c>
      <c r="AB20" s="138" t="s">
        <v>46</v>
      </c>
      <c r="AC20" s="152">
        <v>20.385953553717655</v>
      </c>
      <c r="AD20" s="138">
        <v>28.147538944467289</v>
      </c>
      <c r="AE20" s="140"/>
      <c r="AF20" s="138">
        <v>14.989590562109647</v>
      </c>
      <c r="AG20" s="138">
        <v>8.2913394022041889</v>
      </c>
      <c r="AH20" s="138">
        <v>9.2822820000000004</v>
      </c>
    </row>
    <row r="21" spans="1:481" ht="12.75">
      <c r="A21" s="150">
        <v>2.7</v>
      </c>
      <c r="B21" s="153" t="s">
        <v>19</v>
      </c>
      <c r="C21" s="138" t="s">
        <v>248</v>
      </c>
      <c r="D21" s="138">
        <v>1.7793482171824939</v>
      </c>
      <c r="E21" s="138" t="s">
        <v>248</v>
      </c>
      <c r="F21" s="138" t="s">
        <v>248</v>
      </c>
      <c r="G21" s="138" t="s">
        <v>248</v>
      </c>
      <c r="H21" s="138" t="s">
        <v>248</v>
      </c>
      <c r="I21" s="138">
        <v>10.19885</v>
      </c>
      <c r="J21" s="152">
        <v>0.82290304823126192</v>
      </c>
      <c r="K21" s="138">
        <v>2.9207716666666665</v>
      </c>
      <c r="L21" s="138" t="s">
        <v>248</v>
      </c>
      <c r="M21" s="138" t="s">
        <v>248</v>
      </c>
      <c r="N21" s="138" t="s">
        <v>248</v>
      </c>
      <c r="O21" s="152">
        <v>0.25934584551994472</v>
      </c>
      <c r="P21" s="99" t="s">
        <v>248</v>
      </c>
      <c r="Q21" s="138" t="s">
        <v>248</v>
      </c>
      <c r="R21" s="138" t="s">
        <v>248</v>
      </c>
      <c r="S21" s="138" t="s">
        <v>248</v>
      </c>
      <c r="T21" s="152" t="s">
        <v>248</v>
      </c>
      <c r="U21" s="138" t="s">
        <v>248</v>
      </c>
      <c r="V21" s="138">
        <v>39.571190000000001</v>
      </c>
      <c r="W21" s="138" t="s">
        <v>248</v>
      </c>
      <c r="X21" s="138" t="s">
        <v>248</v>
      </c>
      <c r="Y21" s="138" t="s">
        <v>248</v>
      </c>
      <c r="Z21" s="138">
        <v>12.02112</v>
      </c>
      <c r="AA21" s="138">
        <v>4.5346347812870764</v>
      </c>
      <c r="AB21" s="138" t="s">
        <v>248</v>
      </c>
      <c r="AC21" s="152" t="s">
        <v>248</v>
      </c>
      <c r="AD21" s="138">
        <v>3.5851028655586425</v>
      </c>
      <c r="AE21" s="140"/>
      <c r="AF21" s="138" t="s">
        <v>248</v>
      </c>
      <c r="AG21" s="138" t="s">
        <v>248</v>
      </c>
      <c r="AH21" s="138">
        <v>13.260300000000001</v>
      </c>
    </row>
    <row r="22" spans="1:481" s="149" customFormat="1">
      <c r="A22" s="145">
        <v>3</v>
      </c>
      <c r="B22" s="146" t="s">
        <v>20</v>
      </c>
      <c r="C22" s="147">
        <v>657.45656706045872</v>
      </c>
      <c r="D22" s="147">
        <v>632</v>
      </c>
      <c r="E22" s="147">
        <v>664.5385149201943</v>
      </c>
      <c r="F22" s="147">
        <v>636.57739181561203</v>
      </c>
      <c r="G22" s="147">
        <v>659.35929496339804</v>
      </c>
      <c r="H22" s="147">
        <v>662.67314489379692</v>
      </c>
      <c r="I22" s="147">
        <v>640.48988999999995</v>
      </c>
      <c r="J22" s="148">
        <v>752.24654409000573</v>
      </c>
      <c r="K22" s="147">
        <v>648.02253333333329</v>
      </c>
      <c r="L22" s="147">
        <v>705.51006245662734</v>
      </c>
      <c r="M22" s="147">
        <v>682.47394023627521</v>
      </c>
      <c r="N22" s="147">
        <v>615.70712220395706</v>
      </c>
      <c r="O22" s="148">
        <v>707.80821800252124</v>
      </c>
      <c r="P22" s="148">
        <v>620.61780063291098</v>
      </c>
      <c r="Q22" s="147">
        <v>651.74464969806252</v>
      </c>
      <c r="R22" s="147">
        <v>641.29620771174177</v>
      </c>
      <c r="S22" s="147">
        <v>612.40674166150495</v>
      </c>
      <c r="T22" s="148">
        <v>637.59039306640625</v>
      </c>
      <c r="U22" s="147">
        <v>648</v>
      </c>
      <c r="V22" s="147">
        <v>627.27292999999997</v>
      </c>
      <c r="W22" s="147">
        <v>667.21991701244815</v>
      </c>
      <c r="X22" s="147">
        <v>675.69230769230774</v>
      </c>
      <c r="Y22" s="147">
        <v>628.12760055478498</v>
      </c>
      <c r="Z22" s="147">
        <v>691.79238999999995</v>
      </c>
      <c r="AA22" s="147">
        <v>610.64976119362802</v>
      </c>
      <c r="AB22" s="147">
        <v>695.41463415154408</v>
      </c>
      <c r="AC22" s="148">
        <v>645.20437434277028</v>
      </c>
      <c r="AD22" s="147">
        <v>646.31822576306638</v>
      </c>
      <c r="AE22" s="221"/>
      <c r="AF22" s="147">
        <v>693.51839000693963</v>
      </c>
      <c r="AG22" s="147">
        <v>687.48991476704919</v>
      </c>
      <c r="AH22" s="147">
        <v>695.07884000000001</v>
      </c>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6"/>
      <c r="FO22" s="86"/>
      <c r="FP22" s="86"/>
      <c r="FQ22" s="86"/>
      <c r="FR22" s="86"/>
      <c r="FS22" s="86"/>
      <c r="FT22" s="86"/>
      <c r="FU22" s="86"/>
      <c r="FV22" s="86"/>
      <c r="FW22" s="86"/>
      <c r="FX22" s="86"/>
      <c r="FY22" s="86"/>
      <c r="FZ22" s="86"/>
      <c r="GA22" s="86"/>
      <c r="GB22" s="86"/>
      <c r="GC22" s="86"/>
      <c r="GD22" s="86"/>
      <c r="GE22" s="86"/>
      <c r="GF22" s="86"/>
      <c r="GG22" s="86"/>
      <c r="GH22" s="86"/>
      <c r="GI22" s="86"/>
      <c r="GJ22" s="86"/>
      <c r="GK22" s="86"/>
      <c r="GL22" s="86"/>
      <c r="GM22" s="86"/>
      <c r="GN22" s="86"/>
      <c r="GO22" s="86"/>
      <c r="GP22" s="86"/>
      <c r="GQ22" s="86"/>
      <c r="GR22" s="86"/>
      <c r="GS22" s="86"/>
      <c r="GT22" s="86"/>
      <c r="GU22" s="86"/>
      <c r="GV22" s="86"/>
      <c r="GW22" s="86"/>
      <c r="GX22" s="86"/>
      <c r="GY22" s="86"/>
      <c r="GZ22" s="86"/>
      <c r="HA22" s="86"/>
      <c r="HB22" s="86"/>
      <c r="HC22" s="86"/>
      <c r="HD22" s="86"/>
      <c r="HE22" s="86"/>
      <c r="HF22" s="86"/>
      <c r="HG22" s="86"/>
      <c r="HH22" s="86"/>
      <c r="HI22" s="86"/>
      <c r="HJ22" s="86"/>
      <c r="HK22" s="86"/>
      <c r="HL22" s="86"/>
      <c r="HM22" s="86"/>
      <c r="HN22" s="86"/>
      <c r="HO22" s="86"/>
      <c r="HP22" s="86"/>
      <c r="HQ22" s="86"/>
      <c r="HR22" s="86"/>
      <c r="HS22" s="86"/>
      <c r="HT22" s="86"/>
      <c r="HU22" s="86"/>
      <c r="HV22" s="86"/>
      <c r="HW22" s="86"/>
      <c r="HX22" s="86"/>
      <c r="HY22" s="86"/>
      <c r="HZ22" s="86"/>
      <c r="IA22" s="86"/>
      <c r="IB22" s="86"/>
      <c r="IC22" s="86"/>
      <c r="ID22" s="86"/>
      <c r="IE22" s="86"/>
      <c r="IF22" s="86"/>
      <c r="IG22" s="86"/>
      <c r="IH22" s="86"/>
      <c r="II22" s="86"/>
      <c r="IJ22" s="86"/>
      <c r="IK22" s="86"/>
      <c r="IL22" s="86"/>
      <c r="IM22" s="86"/>
      <c r="IN22" s="86"/>
      <c r="IO22" s="86"/>
      <c r="IP22" s="86"/>
      <c r="IQ22" s="86"/>
      <c r="IR22" s="86"/>
      <c r="IS22" s="86"/>
      <c r="IT22" s="86"/>
      <c r="IU22" s="86"/>
      <c r="IV22" s="86"/>
      <c r="IW22" s="86"/>
      <c r="IX22" s="86"/>
      <c r="IY22" s="86"/>
      <c r="IZ22" s="86"/>
      <c r="JA22" s="86"/>
      <c r="JB22" s="86"/>
      <c r="JC22" s="86"/>
      <c r="JD22" s="86"/>
      <c r="JE22" s="86"/>
      <c r="JF22" s="86"/>
      <c r="JG22" s="86"/>
      <c r="JH22" s="86"/>
      <c r="JI22" s="86"/>
      <c r="JJ22" s="86"/>
      <c r="JK22" s="86"/>
      <c r="JL22" s="86"/>
      <c r="JM22" s="86"/>
      <c r="JN22" s="86"/>
      <c r="JO22" s="86"/>
      <c r="JP22" s="86"/>
      <c r="JQ22" s="86"/>
      <c r="JR22" s="86"/>
      <c r="JS22" s="86"/>
      <c r="JT22" s="86"/>
      <c r="JU22" s="86"/>
      <c r="JV22" s="86"/>
      <c r="JW22" s="86"/>
      <c r="JX22" s="86"/>
      <c r="JY22" s="86"/>
      <c r="JZ22" s="86"/>
      <c r="KA22" s="86"/>
      <c r="KB22" s="86"/>
      <c r="KC22" s="86"/>
      <c r="KD22" s="86"/>
      <c r="KE22" s="86"/>
      <c r="KF22" s="86"/>
      <c r="KG22" s="86"/>
      <c r="KH22" s="86"/>
      <c r="KI22" s="86"/>
      <c r="KJ22" s="86"/>
      <c r="KK22" s="86"/>
      <c r="KL22" s="86"/>
      <c r="KM22" s="86"/>
      <c r="KN22" s="86"/>
      <c r="KO22" s="86"/>
      <c r="KP22" s="86"/>
      <c r="KQ22" s="86"/>
      <c r="KR22" s="86"/>
      <c r="KS22" s="86"/>
      <c r="KT22" s="86"/>
      <c r="KU22" s="86"/>
      <c r="KV22" s="86"/>
      <c r="KW22" s="86"/>
      <c r="KX22" s="86"/>
      <c r="KY22" s="86"/>
      <c r="KZ22" s="86"/>
      <c r="LA22" s="86"/>
      <c r="LB22" s="86"/>
      <c r="LC22" s="86"/>
      <c r="LD22" s="86"/>
      <c r="LE22" s="86"/>
      <c r="LF22" s="86"/>
      <c r="LG22" s="86"/>
      <c r="LH22" s="86"/>
      <c r="LI22" s="86"/>
      <c r="LJ22" s="86"/>
      <c r="LK22" s="86"/>
      <c r="LL22" s="86"/>
      <c r="LM22" s="86"/>
      <c r="LN22" s="86"/>
      <c r="LO22" s="86"/>
      <c r="LP22" s="86"/>
      <c r="LQ22" s="86"/>
      <c r="LR22" s="86"/>
      <c r="LS22" s="86"/>
      <c r="LT22" s="86"/>
      <c r="LU22" s="86"/>
      <c r="LV22" s="86"/>
      <c r="LW22" s="86"/>
      <c r="LX22" s="86"/>
      <c r="LY22" s="86"/>
      <c r="LZ22" s="86"/>
      <c r="MA22" s="86"/>
      <c r="MB22" s="86"/>
      <c r="MC22" s="86"/>
      <c r="MD22" s="86"/>
      <c r="ME22" s="86"/>
      <c r="MF22" s="86"/>
      <c r="MG22" s="86"/>
      <c r="MH22" s="86"/>
      <c r="MI22" s="86"/>
      <c r="MJ22" s="86"/>
      <c r="MK22" s="86"/>
      <c r="ML22" s="86"/>
      <c r="MM22" s="86"/>
      <c r="MN22" s="86"/>
      <c r="MO22" s="86"/>
      <c r="MP22" s="86"/>
      <c r="MQ22" s="86"/>
      <c r="MR22" s="86"/>
      <c r="MS22" s="86"/>
      <c r="MT22" s="86"/>
      <c r="MU22" s="86"/>
      <c r="MV22" s="86"/>
      <c r="MW22" s="86"/>
      <c r="MX22" s="86"/>
      <c r="MY22" s="86"/>
      <c r="MZ22" s="86"/>
      <c r="NA22" s="86"/>
      <c r="NB22" s="86"/>
      <c r="NC22" s="86"/>
      <c r="ND22" s="86"/>
      <c r="NE22" s="86"/>
      <c r="NF22" s="86"/>
      <c r="NG22" s="86"/>
      <c r="NH22" s="86"/>
      <c r="NI22" s="86"/>
      <c r="NJ22" s="86"/>
      <c r="NK22" s="86"/>
      <c r="NL22" s="86"/>
      <c r="NM22" s="86"/>
      <c r="NN22" s="86"/>
      <c r="NO22" s="86"/>
      <c r="NP22" s="86"/>
      <c r="NQ22" s="86"/>
      <c r="NR22" s="86"/>
      <c r="NS22" s="86"/>
      <c r="NT22" s="86"/>
      <c r="NU22" s="86"/>
      <c r="NV22" s="86"/>
      <c r="NW22" s="86"/>
      <c r="NX22" s="86"/>
      <c r="NY22" s="86"/>
      <c r="NZ22" s="86"/>
      <c r="OA22" s="86"/>
      <c r="OB22" s="86"/>
      <c r="OC22" s="86"/>
      <c r="OD22" s="86"/>
      <c r="OE22" s="86"/>
      <c r="OF22" s="86"/>
      <c r="OG22" s="86"/>
      <c r="OH22" s="86"/>
      <c r="OI22" s="86"/>
      <c r="OJ22" s="86"/>
      <c r="OK22" s="86"/>
      <c r="OL22" s="86"/>
      <c r="OM22" s="86"/>
      <c r="ON22" s="86"/>
      <c r="OO22" s="86"/>
      <c r="OP22" s="86"/>
      <c r="OQ22" s="86"/>
      <c r="OR22" s="86"/>
      <c r="OS22" s="86"/>
      <c r="OT22" s="86"/>
      <c r="OU22" s="86"/>
      <c r="OV22" s="86"/>
      <c r="OW22" s="86"/>
      <c r="OX22" s="86"/>
      <c r="OY22" s="86"/>
      <c r="OZ22" s="86"/>
      <c r="PA22" s="86"/>
      <c r="PB22" s="86"/>
      <c r="PC22" s="86"/>
      <c r="PD22" s="86"/>
      <c r="PE22" s="86"/>
      <c r="PF22" s="86"/>
      <c r="PG22" s="86"/>
      <c r="PH22" s="86"/>
      <c r="PI22" s="86"/>
      <c r="PJ22" s="86"/>
      <c r="PK22" s="86"/>
      <c r="PL22" s="86"/>
      <c r="PM22" s="86"/>
      <c r="PN22" s="86"/>
      <c r="PO22" s="86"/>
      <c r="PP22" s="86"/>
      <c r="PQ22" s="86"/>
      <c r="PR22" s="86"/>
      <c r="PS22" s="86"/>
      <c r="PT22" s="86"/>
      <c r="PU22" s="86"/>
      <c r="PV22" s="86"/>
      <c r="PW22" s="86"/>
      <c r="PX22" s="86"/>
      <c r="PY22" s="86"/>
      <c r="PZ22" s="86"/>
      <c r="QA22" s="86"/>
      <c r="QB22" s="86"/>
      <c r="QC22" s="86"/>
      <c r="QD22" s="86"/>
      <c r="QE22" s="86"/>
      <c r="QF22" s="86"/>
      <c r="QG22" s="86"/>
      <c r="QH22" s="86"/>
      <c r="QI22" s="86"/>
      <c r="QJ22" s="86"/>
      <c r="QK22" s="86"/>
      <c r="QL22" s="86"/>
      <c r="QM22" s="86"/>
      <c r="QN22" s="86"/>
      <c r="QO22" s="86"/>
      <c r="QP22" s="86"/>
      <c r="QQ22" s="86"/>
      <c r="QR22" s="86"/>
      <c r="QS22" s="86"/>
      <c r="QT22" s="86"/>
      <c r="QU22" s="86"/>
      <c r="QV22" s="86"/>
      <c r="QW22" s="86"/>
      <c r="QX22" s="86"/>
      <c r="QY22" s="86"/>
      <c r="QZ22" s="86"/>
      <c r="RA22" s="86"/>
      <c r="RB22" s="86"/>
      <c r="RC22" s="86"/>
      <c r="RD22" s="86"/>
      <c r="RE22" s="86"/>
      <c r="RF22" s="86"/>
      <c r="RG22" s="86"/>
      <c r="RH22" s="86"/>
      <c r="RI22" s="86"/>
      <c r="RJ22" s="86"/>
      <c r="RK22" s="86"/>
      <c r="RL22" s="86"/>
      <c r="RM22" s="86"/>
    </row>
    <row r="23" spans="1:481">
      <c r="A23" s="150">
        <v>3.1</v>
      </c>
      <c r="B23" s="151" t="s">
        <v>21</v>
      </c>
      <c r="C23" s="138">
        <v>512.35580264072269</v>
      </c>
      <c r="D23" s="138">
        <v>498.29162266732834</v>
      </c>
      <c r="E23" s="138">
        <v>517.64052741151977</v>
      </c>
      <c r="F23" s="138">
        <v>520</v>
      </c>
      <c r="G23" s="138">
        <v>488.60752360280503</v>
      </c>
      <c r="H23" s="138">
        <v>530.01527932441195</v>
      </c>
      <c r="I23" s="138">
        <v>508.2611</v>
      </c>
      <c r="J23" s="152">
        <v>512.97463006601299</v>
      </c>
      <c r="K23" s="138">
        <v>498.38150000000002</v>
      </c>
      <c r="L23" s="138">
        <v>517.64052741151977</v>
      </c>
      <c r="M23" s="138" t="s">
        <v>248</v>
      </c>
      <c r="N23" s="138">
        <v>496.71457114227815</v>
      </c>
      <c r="O23" s="152">
        <v>513.32088598242979</v>
      </c>
      <c r="P23" s="67">
        <v>444.14936708860762</v>
      </c>
      <c r="Q23" s="138">
        <v>461.05328144317434</v>
      </c>
      <c r="R23" s="138">
        <v>512.28976055896999</v>
      </c>
      <c r="S23" s="138">
        <v>479.18780153289742</v>
      </c>
      <c r="T23" s="152">
        <v>506.68728637695313</v>
      </c>
      <c r="U23" s="138">
        <v>526</v>
      </c>
      <c r="V23" s="138">
        <v>492.12389999999999</v>
      </c>
      <c r="W23" s="138">
        <v>514.85477178423241</v>
      </c>
      <c r="X23" s="138">
        <v>505.51048951048955</v>
      </c>
      <c r="Y23" s="138">
        <v>501.30374479889042</v>
      </c>
      <c r="Z23" s="138">
        <v>515.66189999999995</v>
      </c>
      <c r="AA23" s="138">
        <v>511.97673208291678</v>
      </c>
      <c r="AB23" s="138">
        <v>529.83972125831929</v>
      </c>
      <c r="AC23" s="152">
        <v>508.11057904086522</v>
      </c>
      <c r="AD23" s="138">
        <v>525.06398031010065</v>
      </c>
      <c r="AE23" s="140"/>
      <c r="AF23" s="138">
        <v>541.62387231089519</v>
      </c>
      <c r="AG23" s="138">
        <v>528.14137472816958</v>
      </c>
      <c r="AH23" s="138">
        <v>553.14170000000001</v>
      </c>
    </row>
    <row r="24" spans="1:481">
      <c r="A24" s="150">
        <v>3.2</v>
      </c>
      <c r="B24" s="153" t="s">
        <v>22</v>
      </c>
      <c r="C24" s="138">
        <v>89.06184850590688</v>
      </c>
      <c r="D24" s="138">
        <v>78.83640556233911</v>
      </c>
      <c r="E24" s="138">
        <v>91.936155447605827</v>
      </c>
      <c r="F24" s="138">
        <v>64.819712591585883</v>
      </c>
      <c r="G24" s="138">
        <v>119.15340996707874</v>
      </c>
      <c r="H24" s="138">
        <v>78.996206958996609</v>
      </c>
      <c r="I24" s="138">
        <v>80.645830000000004</v>
      </c>
      <c r="J24" s="152">
        <v>132.75710778104158</v>
      </c>
      <c r="K24" s="138">
        <v>94.963149999999999</v>
      </c>
      <c r="L24" s="138">
        <v>130.90909090909091</v>
      </c>
      <c r="M24" s="138" t="s">
        <v>248</v>
      </c>
      <c r="N24" s="138">
        <v>76.424374351943527</v>
      </c>
      <c r="O24" s="152">
        <v>126.97485465501927</v>
      </c>
      <c r="P24" s="67">
        <v>92.533808016877643</v>
      </c>
      <c r="Q24" s="138">
        <v>105.39341400394422</v>
      </c>
      <c r="R24" s="138">
        <v>88.867320953693778</v>
      </c>
      <c r="S24" s="138">
        <v>75.815602332041024</v>
      </c>
      <c r="T24" s="152">
        <v>65.594261169433594</v>
      </c>
      <c r="U24" s="138">
        <v>80</v>
      </c>
      <c r="V24" s="138">
        <v>79.379769999999994</v>
      </c>
      <c r="W24" s="138">
        <v>93.609958506224075</v>
      </c>
      <c r="X24" s="138">
        <v>111.77622377622379</v>
      </c>
      <c r="Y24" s="138">
        <v>85.88072122052705</v>
      </c>
      <c r="Z24" s="138">
        <v>125.5582</v>
      </c>
      <c r="AA24" s="138">
        <v>74.178114032118003</v>
      </c>
      <c r="AB24" s="234">
        <v>165.57491289322476</v>
      </c>
      <c r="AC24" s="152">
        <v>79.252173945979465</v>
      </c>
      <c r="AD24" s="138">
        <v>61.890367679111208</v>
      </c>
      <c r="AE24" s="140"/>
      <c r="AF24" s="138">
        <v>99.93060374739764</v>
      </c>
      <c r="AG24" s="138">
        <v>83.855191600655957</v>
      </c>
      <c r="AH24" s="138">
        <v>72.385310000000004</v>
      </c>
    </row>
    <row r="25" spans="1:481" ht="22.5">
      <c r="A25" s="150">
        <v>3.3</v>
      </c>
      <c r="B25" s="153" t="s">
        <v>23</v>
      </c>
      <c r="C25" s="138">
        <v>56.038915913829051</v>
      </c>
      <c r="D25" s="138">
        <v>54.956889898288104</v>
      </c>
      <c r="E25" s="138">
        <v>54.961832061068705</v>
      </c>
      <c r="F25" s="138">
        <v>52.03722931810475</v>
      </c>
      <c r="G25" s="138">
        <v>51.598361393514267</v>
      </c>
      <c r="H25" s="138">
        <v>53.661658610388415</v>
      </c>
      <c r="I25" s="138">
        <v>51.58296</v>
      </c>
      <c r="J25" s="152">
        <v>106.51480624295114</v>
      </c>
      <c r="K25" s="138">
        <v>54.677883333333327</v>
      </c>
      <c r="L25" s="138">
        <v>56.960444136016662</v>
      </c>
      <c r="M25" s="138" t="s">
        <v>248</v>
      </c>
      <c r="N25" s="138">
        <v>42.568176709735461</v>
      </c>
      <c r="O25" s="152">
        <v>67.512477365072243</v>
      </c>
      <c r="P25" s="67">
        <v>83.934625527426164</v>
      </c>
      <c r="Q25" s="138">
        <v>85.297954250943747</v>
      </c>
      <c r="R25" s="138">
        <v>40.139126199077957</v>
      </c>
      <c r="S25" s="138">
        <v>57.403337796566518</v>
      </c>
      <c r="T25" s="152">
        <v>65.308830261230469</v>
      </c>
      <c r="U25" s="138">
        <v>42</v>
      </c>
      <c r="V25" s="138">
        <v>55.769260000000003</v>
      </c>
      <c r="W25" s="138">
        <v>58.755186721991706</v>
      </c>
      <c r="X25" s="138">
        <v>58.405594405594407</v>
      </c>
      <c r="Y25" s="138">
        <v>40.943134535367548</v>
      </c>
      <c r="Z25" s="138">
        <v>50.572290000000002</v>
      </c>
      <c r="AA25" s="138">
        <v>24.494915078593237</v>
      </c>
      <c r="AB25" s="234"/>
      <c r="AC25" s="152">
        <v>57.841621355925632</v>
      </c>
      <c r="AD25" s="138">
        <v>59.363877773854583</v>
      </c>
      <c r="AE25" s="140"/>
      <c r="AF25" s="138">
        <v>51.963913948646777</v>
      </c>
      <c r="AG25" s="138">
        <v>75.493348438223663</v>
      </c>
      <c r="AH25" s="138">
        <v>69.551829999999995</v>
      </c>
    </row>
    <row r="26" spans="1:481" s="149" customFormat="1">
      <c r="A26" s="145">
        <v>4</v>
      </c>
      <c r="B26" s="146" t="s">
        <v>24</v>
      </c>
      <c r="C26" s="147">
        <v>281.19527449617789</v>
      </c>
      <c r="D26" s="147">
        <v>291.20930867475204</v>
      </c>
      <c r="E26" s="147">
        <v>368.74392782789727</v>
      </c>
      <c r="F26" s="147">
        <v>278.93344629218751</v>
      </c>
      <c r="G26" s="147">
        <v>328.84481308687708</v>
      </c>
      <c r="H26" s="147">
        <v>309.40707964466696</v>
      </c>
      <c r="I26" s="147">
        <v>330.988722</v>
      </c>
      <c r="J26" s="148">
        <v>293.54264720486071</v>
      </c>
      <c r="K26" s="147">
        <v>331.15183500000001</v>
      </c>
      <c r="L26" s="147">
        <v>352.75503122831367</v>
      </c>
      <c r="M26" s="147">
        <v>278.19318971507994</v>
      </c>
      <c r="N26" s="147">
        <v>315.41566224688393</v>
      </c>
      <c r="O26" s="148">
        <v>323.25861693889669</v>
      </c>
      <c r="P26" s="148">
        <v>264.11277689873401</v>
      </c>
      <c r="Q26" s="147">
        <v>291.40712631565543</v>
      </c>
      <c r="R26" s="147">
        <v>268.84131411538192</v>
      </c>
      <c r="S26" s="147">
        <v>177.71179499223075</v>
      </c>
      <c r="T26" s="148">
        <v>295.5650634765625</v>
      </c>
      <c r="U26" s="147">
        <v>301</v>
      </c>
      <c r="V26" s="147">
        <v>368.24329699999998</v>
      </c>
      <c r="W26" s="147">
        <v>277.84232365145232</v>
      </c>
      <c r="X26" s="147">
        <v>240.67132867132867</v>
      </c>
      <c r="Y26" s="147">
        <v>310.56865464632455</v>
      </c>
      <c r="Z26" s="147">
        <v>316.04926599999999</v>
      </c>
      <c r="AA26" s="147">
        <v>306.96824048667241</v>
      </c>
      <c r="AB26" s="147">
        <v>282.9825783923776</v>
      </c>
      <c r="AC26" s="148">
        <v>305.5309365147898</v>
      </c>
      <c r="AD26" s="147">
        <v>283.29302737651147</v>
      </c>
      <c r="AE26" s="221"/>
      <c r="AF26" s="147">
        <v>227.84177654406665</v>
      </c>
      <c r="AG26" s="147">
        <v>253.99612273410077</v>
      </c>
      <c r="AH26" s="147">
        <v>305.89819599999998</v>
      </c>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6"/>
      <c r="FO26" s="86"/>
      <c r="FP26" s="86"/>
      <c r="FQ26" s="86"/>
      <c r="FR26" s="86"/>
      <c r="FS26" s="86"/>
      <c r="FT26" s="86"/>
      <c r="FU26" s="86"/>
      <c r="FV26" s="86"/>
      <c r="FW26" s="86"/>
      <c r="FX26" s="86"/>
      <c r="FY26" s="86"/>
      <c r="FZ26" s="86"/>
      <c r="GA26" s="86"/>
      <c r="GB26" s="86"/>
      <c r="GC26" s="86"/>
      <c r="GD26" s="86"/>
      <c r="GE26" s="86"/>
      <c r="GF26" s="86"/>
      <c r="GG26" s="86"/>
      <c r="GH26" s="86"/>
      <c r="GI26" s="86"/>
      <c r="GJ26" s="86"/>
      <c r="GK26" s="86"/>
      <c r="GL26" s="86"/>
      <c r="GM26" s="86"/>
      <c r="GN26" s="86"/>
      <c r="GO26" s="86"/>
      <c r="GP26" s="86"/>
      <c r="GQ26" s="86"/>
      <c r="GR26" s="86"/>
      <c r="GS26" s="86"/>
      <c r="GT26" s="86"/>
      <c r="GU26" s="86"/>
      <c r="GV26" s="86"/>
      <c r="GW26" s="86"/>
      <c r="GX26" s="86"/>
      <c r="GY26" s="86"/>
      <c r="GZ26" s="86"/>
      <c r="HA26" s="86"/>
      <c r="HB26" s="86"/>
      <c r="HC26" s="86"/>
      <c r="HD26" s="86"/>
      <c r="HE26" s="86"/>
      <c r="HF26" s="86"/>
      <c r="HG26" s="86"/>
      <c r="HH26" s="86"/>
      <c r="HI26" s="86"/>
      <c r="HJ26" s="86"/>
      <c r="HK26" s="86"/>
      <c r="HL26" s="86"/>
      <c r="HM26" s="86"/>
      <c r="HN26" s="86"/>
      <c r="HO26" s="86"/>
      <c r="HP26" s="86"/>
      <c r="HQ26" s="86"/>
      <c r="HR26" s="86"/>
      <c r="HS26" s="86"/>
      <c r="HT26" s="86"/>
      <c r="HU26" s="86"/>
      <c r="HV26" s="86"/>
      <c r="HW26" s="86"/>
      <c r="HX26" s="86"/>
      <c r="HY26" s="86"/>
      <c r="HZ26" s="86"/>
      <c r="IA26" s="86"/>
      <c r="IB26" s="86"/>
      <c r="IC26" s="86"/>
      <c r="ID26" s="86"/>
      <c r="IE26" s="86"/>
      <c r="IF26" s="86"/>
      <c r="IG26" s="86"/>
      <c r="IH26" s="86"/>
      <c r="II26" s="86"/>
      <c r="IJ26" s="86"/>
      <c r="IK26" s="86"/>
      <c r="IL26" s="86"/>
      <c r="IM26" s="86"/>
      <c r="IN26" s="86"/>
      <c r="IO26" s="86"/>
      <c r="IP26" s="86"/>
      <c r="IQ26" s="86"/>
      <c r="IR26" s="86"/>
      <c r="IS26" s="86"/>
      <c r="IT26" s="86"/>
      <c r="IU26" s="86"/>
      <c r="IV26" s="86"/>
      <c r="IW26" s="86"/>
      <c r="IX26" s="86"/>
      <c r="IY26" s="86"/>
      <c r="IZ26" s="86"/>
      <c r="JA26" s="86"/>
      <c r="JB26" s="86"/>
      <c r="JC26" s="86"/>
      <c r="JD26" s="86"/>
      <c r="JE26" s="86"/>
      <c r="JF26" s="86"/>
      <c r="JG26" s="86"/>
      <c r="JH26" s="86"/>
      <c r="JI26" s="86"/>
      <c r="JJ26" s="86"/>
      <c r="JK26" s="86"/>
      <c r="JL26" s="86"/>
      <c r="JM26" s="86"/>
      <c r="JN26" s="86"/>
      <c r="JO26" s="86"/>
      <c r="JP26" s="86"/>
      <c r="JQ26" s="86"/>
      <c r="JR26" s="86"/>
      <c r="JS26" s="86"/>
      <c r="JT26" s="86"/>
      <c r="JU26" s="86"/>
      <c r="JV26" s="86"/>
      <c r="JW26" s="86"/>
      <c r="JX26" s="86"/>
      <c r="JY26" s="86"/>
      <c r="JZ26" s="86"/>
      <c r="KA26" s="86"/>
      <c r="KB26" s="86"/>
      <c r="KC26" s="86"/>
      <c r="KD26" s="86"/>
      <c r="KE26" s="86"/>
      <c r="KF26" s="86"/>
      <c r="KG26" s="86"/>
      <c r="KH26" s="86"/>
      <c r="KI26" s="86"/>
      <c r="KJ26" s="86"/>
      <c r="KK26" s="86"/>
      <c r="KL26" s="86"/>
      <c r="KM26" s="86"/>
      <c r="KN26" s="86"/>
      <c r="KO26" s="86"/>
      <c r="KP26" s="86"/>
      <c r="KQ26" s="86"/>
      <c r="KR26" s="86"/>
      <c r="KS26" s="86"/>
      <c r="KT26" s="86"/>
      <c r="KU26" s="86"/>
      <c r="KV26" s="86"/>
      <c r="KW26" s="86"/>
      <c r="KX26" s="86"/>
      <c r="KY26" s="86"/>
      <c r="KZ26" s="86"/>
      <c r="LA26" s="86"/>
      <c r="LB26" s="86"/>
      <c r="LC26" s="86"/>
      <c r="LD26" s="86"/>
      <c r="LE26" s="86"/>
      <c r="LF26" s="86"/>
      <c r="LG26" s="86"/>
      <c r="LH26" s="86"/>
      <c r="LI26" s="86"/>
      <c r="LJ26" s="86"/>
      <c r="LK26" s="86"/>
      <c r="LL26" s="86"/>
      <c r="LM26" s="86"/>
      <c r="LN26" s="86"/>
      <c r="LO26" s="86"/>
      <c r="LP26" s="86"/>
      <c r="LQ26" s="86"/>
      <c r="LR26" s="86"/>
      <c r="LS26" s="86"/>
      <c r="LT26" s="86"/>
      <c r="LU26" s="86"/>
      <c r="LV26" s="86"/>
      <c r="LW26" s="86"/>
      <c r="LX26" s="86"/>
      <c r="LY26" s="86"/>
      <c r="LZ26" s="86"/>
      <c r="MA26" s="86"/>
      <c r="MB26" s="86"/>
      <c r="MC26" s="86"/>
      <c r="MD26" s="86"/>
      <c r="ME26" s="86"/>
      <c r="MF26" s="86"/>
      <c r="MG26" s="86"/>
      <c r="MH26" s="86"/>
      <c r="MI26" s="86"/>
      <c r="MJ26" s="86"/>
      <c r="MK26" s="86"/>
      <c r="ML26" s="86"/>
      <c r="MM26" s="86"/>
      <c r="MN26" s="86"/>
      <c r="MO26" s="86"/>
      <c r="MP26" s="86"/>
      <c r="MQ26" s="86"/>
      <c r="MR26" s="86"/>
      <c r="MS26" s="86"/>
      <c r="MT26" s="86"/>
      <c r="MU26" s="86"/>
      <c r="MV26" s="86"/>
      <c r="MW26" s="86"/>
      <c r="MX26" s="86"/>
      <c r="MY26" s="86"/>
      <c r="MZ26" s="86"/>
      <c r="NA26" s="86"/>
      <c r="NB26" s="86"/>
      <c r="NC26" s="86"/>
      <c r="ND26" s="86"/>
      <c r="NE26" s="86"/>
      <c r="NF26" s="86"/>
      <c r="NG26" s="86"/>
      <c r="NH26" s="86"/>
      <c r="NI26" s="86"/>
      <c r="NJ26" s="86"/>
      <c r="NK26" s="86"/>
      <c r="NL26" s="86"/>
      <c r="NM26" s="86"/>
      <c r="NN26" s="86"/>
      <c r="NO26" s="86"/>
      <c r="NP26" s="86"/>
      <c r="NQ26" s="86"/>
      <c r="NR26" s="86"/>
      <c r="NS26" s="86"/>
      <c r="NT26" s="86"/>
      <c r="NU26" s="86"/>
      <c r="NV26" s="86"/>
      <c r="NW26" s="86"/>
      <c r="NX26" s="86"/>
      <c r="NY26" s="86"/>
      <c r="NZ26" s="86"/>
      <c r="OA26" s="86"/>
      <c r="OB26" s="86"/>
      <c r="OC26" s="86"/>
      <c r="OD26" s="86"/>
      <c r="OE26" s="86"/>
      <c r="OF26" s="86"/>
      <c r="OG26" s="86"/>
      <c r="OH26" s="86"/>
      <c r="OI26" s="86"/>
      <c r="OJ26" s="86"/>
      <c r="OK26" s="86"/>
      <c r="OL26" s="86"/>
      <c r="OM26" s="86"/>
      <c r="ON26" s="86"/>
      <c r="OO26" s="86"/>
      <c r="OP26" s="86"/>
      <c r="OQ26" s="86"/>
      <c r="OR26" s="86"/>
      <c r="OS26" s="86"/>
      <c r="OT26" s="86"/>
      <c r="OU26" s="86"/>
      <c r="OV26" s="86"/>
      <c r="OW26" s="86"/>
      <c r="OX26" s="86"/>
      <c r="OY26" s="86"/>
      <c r="OZ26" s="86"/>
      <c r="PA26" s="86"/>
      <c r="PB26" s="86"/>
      <c r="PC26" s="86"/>
      <c r="PD26" s="86"/>
      <c r="PE26" s="86"/>
      <c r="PF26" s="86"/>
      <c r="PG26" s="86"/>
      <c r="PH26" s="86"/>
      <c r="PI26" s="86"/>
      <c r="PJ26" s="86"/>
      <c r="PK26" s="86"/>
      <c r="PL26" s="86"/>
      <c r="PM26" s="86"/>
      <c r="PN26" s="86"/>
      <c r="PO26" s="86"/>
      <c r="PP26" s="86"/>
      <c r="PQ26" s="86"/>
      <c r="PR26" s="86"/>
      <c r="PS26" s="86"/>
      <c r="PT26" s="86"/>
      <c r="PU26" s="86"/>
      <c r="PV26" s="86"/>
      <c r="PW26" s="86"/>
      <c r="PX26" s="86"/>
      <c r="PY26" s="86"/>
      <c r="PZ26" s="86"/>
      <c r="QA26" s="86"/>
      <c r="QB26" s="86"/>
      <c r="QC26" s="86"/>
      <c r="QD26" s="86"/>
      <c r="QE26" s="86"/>
      <c r="QF26" s="86"/>
      <c r="QG26" s="86"/>
      <c r="QH26" s="86"/>
      <c r="QI26" s="86"/>
      <c r="QJ26" s="86"/>
      <c r="QK26" s="86"/>
      <c r="QL26" s="86"/>
      <c r="QM26" s="86"/>
      <c r="QN26" s="86"/>
      <c r="QO26" s="86"/>
      <c r="QP26" s="86"/>
      <c r="QQ26" s="86"/>
      <c r="QR26" s="86"/>
      <c r="QS26" s="86"/>
      <c r="QT26" s="86"/>
      <c r="QU26" s="86"/>
      <c r="QV26" s="86"/>
      <c r="QW26" s="86"/>
      <c r="QX26" s="86"/>
      <c r="QY26" s="86"/>
      <c r="QZ26" s="86"/>
      <c r="RA26" s="86"/>
      <c r="RB26" s="86"/>
      <c r="RC26" s="86"/>
      <c r="RD26" s="86"/>
      <c r="RE26" s="86"/>
      <c r="RF26" s="86"/>
      <c r="RG26" s="86"/>
      <c r="RH26" s="86"/>
      <c r="RI26" s="86"/>
      <c r="RJ26" s="86"/>
      <c r="RK26" s="86"/>
      <c r="RL26" s="86"/>
      <c r="RM26" s="86"/>
    </row>
    <row r="27" spans="1:481">
      <c r="A27" s="150">
        <v>4.0999999999999996</v>
      </c>
      <c r="B27" s="155" t="s">
        <v>25</v>
      </c>
      <c r="C27" s="138">
        <v>19.013203613620568</v>
      </c>
      <c r="D27" s="138">
        <v>32.078530000000001</v>
      </c>
      <c r="E27" s="138">
        <v>9.9930603747397644</v>
      </c>
      <c r="F27" s="138">
        <v>20.998791182177293</v>
      </c>
      <c r="G27" s="138">
        <v>22.115072429813779</v>
      </c>
      <c r="H27" s="138">
        <v>27.474674349967735</v>
      </c>
      <c r="I27" s="138">
        <v>37.230849999999997</v>
      </c>
      <c r="J27" s="152">
        <v>11.9611007010534</v>
      </c>
      <c r="K27" s="138">
        <v>26.43525</v>
      </c>
      <c r="L27" s="138">
        <v>25.981956974323388</v>
      </c>
      <c r="M27" s="138">
        <v>19.013203613620568</v>
      </c>
      <c r="N27" s="138">
        <v>20.181022577768545</v>
      </c>
      <c r="O27" s="152">
        <v>38.214085977502052</v>
      </c>
      <c r="P27" s="67">
        <v>9.9307621308016873</v>
      </c>
      <c r="Q27" s="138">
        <v>27.116180726138609</v>
      </c>
      <c r="R27" s="138">
        <v>24.990631279523889</v>
      </c>
      <c r="S27" s="138">
        <v>13.887562844638765</v>
      </c>
      <c r="T27" s="152">
        <v>20.65290641784668</v>
      </c>
      <c r="U27" s="138">
        <v>17</v>
      </c>
      <c r="V27" s="138">
        <v>20.90907</v>
      </c>
      <c r="W27" s="138">
        <v>23.900414937759336</v>
      </c>
      <c r="X27" s="138">
        <v>12.083916083916083</v>
      </c>
      <c r="Y27" s="138">
        <v>31.955617198335645</v>
      </c>
      <c r="Z27" s="138">
        <v>41.877960000000002</v>
      </c>
      <c r="AA27" s="138">
        <v>19.316991843456481</v>
      </c>
      <c r="AB27" s="138">
        <v>9.5830755688861249</v>
      </c>
      <c r="AC27" s="152">
        <v>19.362315398020446</v>
      </c>
      <c r="AD27" s="138">
        <v>20.071209247329652</v>
      </c>
      <c r="AE27" s="140"/>
      <c r="AF27" s="138">
        <v>22.984038861901457</v>
      </c>
      <c r="AG27" s="138">
        <v>5.4987046680172682</v>
      </c>
      <c r="AH27" s="138">
        <v>5.085051</v>
      </c>
    </row>
    <row r="28" spans="1:481">
      <c r="A28" s="150">
        <v>4.2</v>
      </c>
      <c r="B28" s="153" t="s">
        <v>26</v>
      </c>
      <c r="C28" s="138">
        <v>6.004169562195969</v>
      </c>
      <c r="D28" s="138">
        <v>9.4315519999999999</v>
      </c>
      <c r="E28" s="138">
        <v>6.9951422623178345</v>
      </c>
      <c r="F28" s="138">
        <v>5.6058645351740521</v>
      </c>
      <c r="G28" s="138">
        <v>7.4393849701311812</v>
      </c>
      <c r="H28" s="138">
        <v>7.861109817244885</v>
      </c>
      <c r="I28" s="138">
        <v>7.7142920000000004</v>
      </c>
      <c r="J28" s="152">
        <v>14.842220869919055</v>
      </c>
      <c r="K28" s="138">
        <v>13.528251666666668</v>
      </c>
      <c r="L28" s="138">
        <v>3.9972241498959056</v>
      </c>
      <c r="M28" s="138">
        <v>4.002779708130646</v>
      </c>
      <c r="N28" s="138">
        <v>41.910362386562298</v>
      </c>
      <c r="O28" s="152">
        <v>5.8233125546677647</v>
      </c>
      <c r="P28" s="67" t="s">
        <v>248</v>
      </c>
      <c r="Q28" s="138">
        <v>2.5151420651482241</v>
      </c>
      <c r="R28" s="138">
        <v>4.7963008260519171</v>
      </c>
      <c r="S28" s="138">
        <v>7.5751879200632546</v>
      </c>
      <c r="T28" s="152">
        <v>26.519563674926758</v>
      </c>
      <c r="U28" s="138">
        <v>6</v>
      </c>
      <c r="V28" s="138">
        <v>8.0566270000000006</v>
      </c>
      <c r="W28" s="138">
        <v>1.991701244813278</v>
      </c>
      <c r="X28" s="138">
        <v>10.573426573426573</v>
      </c>
      <c r="Y28" s="138">
        <v>4.993065187239945</v>
      </c>
      <c r="Z28" s="138">
        <v>9.2118359999999999</v>
      </c>
      <c r="AA28" s="138">
        <v>5.2832311771475275</v>
      </c>
      <c r="AB28" s="138">
        <v>2.3807577853623636</v>
      </c>
      <c r="AC28" s="152">
        <v>7.013407728764264</v>
      </c>
      <c r="AD28" s="138">
        <v>6.219167766781208</v>
      </c>
      <c r="AE28" s="140"/>
      <c r="AF28" s="138">
        <v>1.9986120749479528</v>
      </c>
      <c r="AG28" s="138">
        <v>4.6092055871927444</v>
      </c>
      <c r="AH28" s="138">
        <v>5.1077050000000002</v>
      </c>
    </row>
    <row r="29" spans="1:481">
      <c r="A29" s="150">
        <v>4.3</v>
      </c>
      <c r="B29" s="151" t="s">
        <v>27</v>
      </c>
      <c r="C29" s="138">
        <v>10.006949270326615</v>
      </c>
      <c r="D29" s="138">
        <v>81.770629999999997</v>
      </c>
      <c r="E29" s="138">
        <v>79.944482997918115</v>
      </c>
      <c r="F29" s="138">
        <v>53.476652016212057</v>
      </c>
      <c r="G29" s="138">
        <v>81.371521458505086</v>
      </c>
      <c r="H29" s="138">
        <v>37.624863200050292</v>
      </c>
      <c r="I29" s="138">
        <v>54.645980000000002</v>
      </c>
      <c r="J29" s="152">
        <v>55.20107323539623</v>
      </c>
      <c r="K29" s="138">
        <v>60.646949999999997</v>
      </c>
      <c r="L29" s="138">
        <v>57.959750173490633</v>
      </c>
      <c r="M29" s="138">
        <v>51.035441278665736</v>
      </c>
      <c r="N29" s="138">
        <v>48.76249563389608</v>
      </c>
      <c r="O29" s="152">
        <v>65.35720679671374</v>
      </c>
      <c r="P29" s="67">
        <v>17.356975210970464</v>
      </c>
      <c r="Q29" s="138">
        <v>44.961492971742693</v>
      </c>
      <c r="R29" s="138">
        <v>35.084831672702961</v>
      </c>
      <c r="S29" s="138">
        <v>45.685194028742366</v>
      </c>
      <c r="T29" s="152">
        <v>86.756340026855469</v>
      </c>
      <c r="U29" s="138">
        <v>69</v>
      </c>
      <c r="V29" s="138">
        <v>57.0152</v>
      </c>
      <c r="W29" s="138">
        <v>44.813278008298752</v>
      </c>
      <c r="X29" s="138">
        <v>43.804195804195807</v>
      </c>
      <c r="Y29" s="138">
        <v>61.914008321775313</v>
      </c>
      <c r="Z29" s="138">
        <v>50.793500000000002</v>
      </c>
      <c r="AA29" s="138">
        <v>31.158254639844063</v>
      </c>
      <c r="AB29" s="138">
        <v>70.855910993767836</v>
      </c>
      <c r="AC29" s="152">
        <v>47.42831765130417</v>
      </c>
      <c r="AD29" s="138">
        <v>42.822468394157433</v>
      </c>
      <c r="AE29" s="140"/>
      <c r="AF29" s="138">
        <v>22.984038861901457</v>
      </c>
      <c r="AG29" s="138">
        <v>73.257531310254521</v>
      </c>
      <c r="AH29" s="138">
        <v>82.146140000000003</v>
      </c>
    </row>
    <row r="30" spans="1:481">
      <c r="A30" s="150">
        <v>4.4000000000000004</v>
      </c>
      <c r="B30" s="151" t="s">
        <v>28</v>
      </c>
      <c r="C30" s="138">
        <v>140.09728978457267</v>
      </c>
      <c r="D30" s="138">
        <v>108.82629667475206</v>
      </c>
      <c r="E30" s="138">
        <v>142.90076335877862</v>
      </c>
      <c r="F30" s="138">
        <v>109.37061833330586</v>
      </c>
      <c r="G30" s="138">
        <v>122.97380825958031</v>
      </c>
      <c r="H30" s="138">
        <v>122.16253682495501</v>
      </c>
      <c r="I30" s="138">
        <v>118.1499</v>
      </c>
      <c r="J30" s="152">
        <v>113.84890667281091</v>
      </c>
      <c r="K30" s="138">
        <v>118.46509999999999</v>
      </c>
      <c r="L30" s="138">
        <v>155.89174184594032</v>
      </c>
      <c r="M30" s="138">
        <v>166.11535788742182</v>
      </c>
      <c r="N30" s="138">
        <v>85.829303458930582</v>
      </c>
      <c r="O30" s="152">
        <v>103.69272210894766</v>
      </c>
      <c r="P30" s="67">
        <v>97.107133438818565</v>
      </c>
      <c r="Q30" s="138">
        <v>122.89474745609671</v>
      </c>
      <c r="R30" s="138">
        <v>123.29731679890583</v>
      </c>
      <c r="S30" s="138">
        <v>65.565542695831709</v>
      </c>
      <c r="T30" s="152">
        <v>87.698036193847656</v>
      </c>
      <c r="U30" s="138">
        <v>124</v>
      </c>
      <c r="V30" s="138">
        <v>128.6927</v>
      </c>
      <c r="W30" s="138">
        <v>134.43983402489627</v>
      </c>
      <c r="X30" s="138">
        <v>113.79020979020979</v>
      </c>
      <c r="Y30" s="138">
        <v>119.83356449375867</v>
      </c>
      <c r="Z30" s="138">
        <v>129.44040000000001</v>
      </c>
      <c r="AA30" s="138">
        <v>91.642321508539794</v>
      </c>
      <c r="AB30" s="138">
        <v>131.06276324963139</v>
      </c>
      <c r="AC30" s="152">
        <v>133.31918590437161</v>
      </c>
      <c r="AD30" s="138">
        <v>144.22819459144267</v>
      </c>
      <c r="AE30" s="140"/>
      <c r="AF30" s="138">
        <v>126.91186675919501</v>
      </c>
      <c r="AG30" s="138">
        <v>61.43724169710584</v>
      </c>
      <c r="AH30" s="138">
        <v>131.7347</v>
      </c>
    </row>
    <row r="31" spans="1:481">
      <c r="A31" s="150">
        <v>4.5</v>
      </c>
      <c r="B31" s="151" t="s">
        <v>29</v>
      </c>
      <c r="C31" s="138">
        <v>106.07366226546213</v>
      </c>
      <c r="D31" s="138">
        <v>59.1023</v>
      </c>
      <c r="E31" s="138">
        <v>128.91047883414294</v>
      </c>
      <c r="F31" s="138">
        <v>89.481520225318235</v>
      </c>
      <c r="G31" s="138">
        <v>94.945025968846736</v>
      </c>
      <c r="H31" s="138">
        <v>114.283895452449</v>
      </c>
      <c r="I31" s="138">
        <v>113.24769999999999</v>
      </c>
      <c r="J31" s="152">
        <v>97.689345725681093</v>
      </c>
      <c r="K31" s="138">
        <v>112.07628333333334</v>
      </c>
      <c r="L31" s="138">
        <v>108.92435808466344</v>
      </c>
      <c r="M31" s="138">
        <v>38.026407227241137</v>
      </c>
      <c r="N31" s="138">
        <v>118.73247818972644</v>
      </c>
      <c r="O31" s="152">
        <v>110.17128950106543</v>
      </c>
      <c r="P31" s="67">
        <v>139.71790611814347</v>
      </c>
      <c r="Q31" s="138">
        <v>93.919563096529174</v>
      </c>
      <c r="R31" s="138">
        <v>80.672233538197347</v>
      </c>
      <c r="S31" s="138">
        <v>44.998307502954667</v>
      </c>
      <c r="T31" s="152">
        <v>73.938201904296875</v>
      </c>
      <c r="U31" s="138">
        <v>85</v>
      </c>
      <c r="V31" s="138">
        <v>153.56970000000001</v>
      </c>
      <c r="W31" s="138">
        <v>72.697095435684645</v>
      </c>
      <c r="X31" s="138">
        <v>60.419580419580399</v>
      </c>
      <c r="Y31" s="138">
        <v>91.872399445214981</v>
      </c>
      <c r="Z31" s="138">
        <v>84.725570000000005</v>
      </c>
      <c r="AA31" s="138">
        <v>159.56744131768454</v>
      </c>
      <c r="AB31" s="138">
        <v>69.100070794729888</v>
      </c>
      <c r="AC31" s="152">
        <v>98.407709832329331</v>
      </c>
      <c r="AD31" s="138">
        <v>69.95198737680046</v>
      </c>
      <c r="AE31" s="140"/>
      <c r="AF31" s="138">
        <v>52.963219986120748</v>
      </c>
      <c r="AG31" s="138">
        <v>109.19343947153037</v>
      </c>
      <c r="AH31" s="138">
        <v>81.824600000000004</v>
      </c>
    </row>
    <row r="32" spans="1:481" s="149" customFormat="1">
      <c r="A32" s="145">
        <v>5</v>
      </c>
      <c r="B32" s="146" t="s">
        <v>30</v>
      </c>
      <c r="C32" s="147">
        <v>20.01389854065323</v>
      </c>
      <c r="D32" s="147">
        <v>8.4071387431152047</v>
      </c>
      <c r="E32" s="147">
        <v>4.9965301873698822</v>
      </c>
      <c r="F32" s="147">
        <v>33.913959624558181</v>
      </c>
      <c r="G32" s="147">
        <v>10.351956938702461</v>
      </c>
      <c r="H32" s="147">
        <v>5</v>
      </c>
      <c r="I32" s="147">
        <v>42.547142000000001</v>
      </c>
      <c r="J32" s="148">
        <v>8.9471145244003232</v>
      </c>
      <c r="K32" s="147">
        <v>17.013493333333333</v>
      </c>
      <c r="L32" s="147">
        <v>7</v>
      </c>
      <c r="M32" s="147">
        <v>2.001389854065323</v>
      </c>
      <c r="N32" s="147">
        <v>25.717863607346597</v>
      </c>
      <c r="O32" s="148">
        <v>13.185361459159635</v>
      </c>
      <c r="P32" s="148">
        <v>46.553533755274302</v>
      </c>
      <c r="Q32" s="147">
        <v>12.808626211135893</v>
      </c>
      <c r="R32" s="147">
        <v>3.8495074068550146</v>
      </c>
      <c r="S32" s="147">
        <v>21.434043118787514</v>
      </c>
      <c r="T32" s="148">
        <v>33.391407012939453</v>
      </c>
      <c r="U32" s="147">
        <v>17</v>
      </c>
      <c r="V32" s="147">
        <v>7.2344950000000008</v>
      </c>
      <c r="W32" s="147">
        <v>50.788381742738586</v>
      </c>
      <c r="X32" s="147">
        <v>6.0419580419580416</v>
      </c>
      <c r="Y32" s="147">
        <v>5.9916782246879334</v>
      </c>
      <c r="Z32" s="147">
        <v>13.424608000000001</v>
      </c>
      <c r="AA32" s="147">
        <v>51.815404162087532</v>
      </c>
      <c r="AB32" s="147">
        <v>63.219512195594916</v>
      </c>
      <c r="AC32" s="148">
        <v>32.471894215939798</v>
      </c>
      <c r="AD32" s="147">
        <v>23.440849120968156</v>
      </c>
      <c r="AE32" s="221"/>
      <c r="AF32" s="147">
        <v>14.989590562109647</v>
      </c>
      <c r="AG32" s="147">
        <v>12.388402873825923</v>
      </c>
      <c r="AH32" s="147">
        <v>16.162131299999999</v>
      </c>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86"/>
      <c r="DB32" s="86"/>
      <c r="DC32" s="86"/>
      <c r="DD32" s="86"/>
      <c r="DE32" s="86"/>
      <c r="DF32" s="86"/>
      <c r="DG32" s="86"/>
      <c r="DH32" s="86"/>
      <c r="DI32" s="86"/>
      <c r="DJ32" s="86"/>
      <c r="DK32" s="86"/>
      <c r="DL32" s="86"/>
      <c r="DM32" s="86"/>
      <c r="DN32" s="86"/>
      <c r="DO32" s="86"/>
      <c r="DP32" s="86"/>
      <c r="DQ32" s="86"/>
      <c r="DR32" s="86"/>
      <c r="DS32" s="86"/>
      <c r="DT32" s="86"/>
      <c r="DU32" s="86"/>
      <c r="DV32" s="86"/>
      <c r="DW32" s="86"/>
      <c r="DX32" s="86"/>
      <c r="DY32" s="86"/>
      <c r="DZ32" s="86"/>
      <c r="EA32" s="86"/>
      <c r="EB32" s="86"/>
      <c r="EC32" s="86"/>
      <c r="ED32" s="86"/>
      <c r="EE32" s="86"/>
      <c r="EF32" s="86"/>
      <c r="EG32" s="86"/>
      <c r="EH32" s="86"/>
      <c r="EI32" s="86"/>
      <c r="EJ32" s="86"/>
      <c r="EK32" s="86"/>
      <c r="EL32" s="86"/>
      <c r="EM32" s="86"/>
      <c r="EN32" s="86"/>
      <c r="EO32" s="86"/>
      <c r="EP32" s="86"/>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6"/>
      <c r="FO32" s="86"/>
      <c r="FP32" s="86"/>
      <c r="FQ32" s="86"/>
      <c r="FR32" s="86"/>
      <c r="FS32" s="86"/>
      <c r="FT32" s="86"/>
      <c r="FU32" s="86"/>
      <c r="FV32" s="86"/>
      <c r="FW32" s="86"/>
      <c r="FX32" s="86"/>
      <c r="FY32" s="86"/>
      <c r="FZ32" s="86"/>
      <c r="GA32" s="86"/>
      <c r="GB32" s="86"/>
      <c r="GC32" s="86"/>
      <c r="GD32" s="86"/>
      <c r="GE32" s="86"/>
      <c r="GF32" s="86"/>
      <c r="GG32" s="86"/>
      <c r="GH32" s="86"/>
      <c r="GI32" s="86"/>
      <c r="GJ32" s="86"/>
      <c r="GK32" s="86"/>
      <c r="GL32" s="86"/>
      <c r="GM32" s="86"/>
      <c r="GN32" s="86"/>
      <c r="GO32" s="86"/>
      <c r="GP32" s="86"/>
      <c r="GQ32" s="86"/>
      <c r="GR32" s="86"/>
      <c r="GS32" s="86"/>
      <c r="GT32" s="86"/>
      <c r="GU32" s="86"/>
      <c r="GV32" s="86"/>
      <c r="GW32" s="86"/>
      <c r="GX32" s="86"/>
      <c r="GY32" s="86"/>
      <c r="GZ32" s="86"/>
      <c r="HA32" s="86"/>
      <c r="HB32" s="86"/>
      <c r="HC32" s="86"/>
      <c r="HD32" s="86"/>
      <c r="HE32" s="86"/>
      <c r="HF32" s="86"/>
      <c r="HG32" s="86"/>
      <c r="HH32" s="86"/>
      <c r="HI32" s="86"/>
      <c r="HJ32" s="86"/>
      <c r="HK32" s="86"/>
      <c r="HL32" s="86"/>
      <c r="HM32" s="86"/>
      <c r="HN32" s="86"/>
      <c r="HO32" s="86"/>
      <c r="HP32" s="86"/>
      <c r="HQ32" s="86"/>
      <c r="HR32" s="86"/>
      <c r="HS32" s="86"/>
      <c r="HT32" s="86"/>
      <c r="HU32" s="86"/>
      <c r="HV32" s="86"/>
      <c r="HW32" s="86"/>
      <c r="HX32" s="86"/>
      <c r="HY32" s="86"/>
      <c r="HZ32" s="86"/>
      <c r="IA32" s="86"/>
      <c r="IB32" s="86"/>
      <c r="IC32" s="86"/>
      <c r="ID32" s="86"/>
      <c r="IE32" s="86"/>
      <c r="IF32" s="86"/>
      <c r="IG32" s="86"/>
      <c r="IH32" s="86"/>
      <c r="II32" s="86"/>
      <c r="IJ32" s="86"/>
      <c r="IK32" s="86"/>
      <c r="IL32" s="86"/>
      <c r="IM32" s="86"/>
      <c r="IN32" s="86"/>
      <c r="IO32" s="86"/>
      <c r="IP32" s="86"/>
      <c r="IQ32" s="86"/>
      <c r="IR32" s="86"/>
      <c r="IS32" s="86"/>
      <c r="IT32" s="86"/>
      <c r="IU32" s="86"/>
      <c r="IV32" s="86"/>
      <c r="IW32" s="86"/>
      <c r="IX32" s="86"/>
      <c r="IY32" s="86"/>
      <c r="IZ32" s="86"/>
      <c r="JA32" s="86"/>
      <c r="JB32" s="86"/>
      <c r="JC32" s="86"/>
      <c r="JD32" s="86"/>
      <c r="JE32" s="86"/>
      <c r="JF32" s="86"/>
      <c r="JG32" s="86"/>
      <c r="JH32" s="86"/>
      <c r="JI32" s="86"/>
      <c r="JJ32" s="86"/>
      <c r="JK32" s="86"/>
      <c r="JL32" s="86"/>
      <c r="JM32" s="86"/>
      <c r="JN32" s="86"/>
      <c r="JO32" s="86"/>
      <c r="JP32" s="86"/>
      <c r="JQ32" s="86"/>
      <c r="JR32" s="86"/>
      <c r="JS32" s="86"/>
      <c r="JT32" s="86"/>
      <c r="JU32" s="86"/>
      <c r="JV32" s="86"/>
      <c r="JW32" s="86"/>
      <c r="JX32" s="86"/>
      <c r="JY32" s="86"/>
      <c r="JZ32" s="86"/>
      <c r="KA32" s="86"/>
      <c r="KB32" s="86"/>
      <c r="KC32" s="86"/>
      <c r="KD32" s="86"/>
      <c r="KE32" s="86"/>
      <c r="KF32" s="86"/>
      <c r="KG32" s="86"/>
      <c r="KH32" s="86"/>
      <c r="KI32" s="86"/>
      <c r="KJ32" s="86"/>
      <c r="KK32" s="86"/>
      <c r="KL32" s="86"/>
      <c r="KM32" s="86"/>
      <c r="KN32" s="86"/>
      <c r="KO32" s="86"/>
      <c r="KP32" s="86"/>
      <c r="KQ32" s="86"/>
      <c r="KR32" s="86"/>
      <c r="KS32" s="86"/>
      <c r="KT32" s="86"/>
      <c r="KU32" s="86"/>
      <c r="KV32" s="86"/>
      <c r="KW32" s="86"/>
      <c r="KX32" s="86"/>
      <c r="KY32" s="86"/>
      <c r="KZ32" s="86"/>
      <c r="LA32" s="86"/>
      <c r="LB32" s="86"/>
      <c r="LC32" s="86"/>
      <c r="LD32" s="86"/>
      <c r="LE32" s="86"/>
      <c r="LF32" s="86"/>
      <c r="LG32" s="86"/>
      <c r="LH32" s="86"/>
      <c r="LI32" s="86"/>
      <c r="LJ32" s="86"/>
      <c r="LK32" s="86"/>
      <c r="LL32" s="86"/>
      <c r="LM32" s="86"/>
      <c r="LN32" s="86"/>
      <c r="LO32" s="86"/>
      <c r="LP32" s="86"/>
      <c r="LQ32" s="86"/>
      <c r="LR32" s="86"/>
      <c r="LS32" s="86"/>
      <c r="LT32" s="86"/>
      <c r="LU32" s="86"/>
      <c r="LV32" s="86"/>
      <c r="LW32" s="86"/>
      <c r="LX32" s="86"/>
      <c r="LY32" s="86"/>
      <c r="LZ32" s="86"/>
      <c r="MA32" s="86"/>
      <c r="MB32" s="86"/>
      <c r="MC32" s="86"/>
      <c r="MD32" s="86"/>
      <c r="ME32" s="86"/>
      <c r="MF32" s="86"/>
      <c r="MG32" s="86"/>
      <c r="MH32" s="86"/>
      <c r="MI32" s="86"/>
      <c r="MJ32" s="86"/>
      <c r="MK32" s="86"/>
      <c r="ML32" s="86"/>
      <c r="MM32" s="86"/>
      <c r="MN32" s="86"/>
      <c r="MO32" s="86"/>
      <c r="MP32" s="86"/>
      <c r="MQ32" s="86"/>
      <c r="MR32" s="86"/>
      <c r="MS32" s="86"/>
      <c r="MT32" s="86"/>
      <c r="MU32" s="86"/>
      <c r="MV32" s="86"/>
      <c r="MW32" s="86"/>
      <c r="MX32" s="86"/>
      <c r="MY32" s="86"/>
      <c r="MZ32" s="86"/>
      <c r="NA32" s="86"/>
      <c r="NB32" s="86"/>
      <c r="NC32" s="86"/>
      <c r="ND32" s="86"/>
      <c r="NE32" s="86"/>
      <c r="NF32" s="86"/>
      <c r="NG32" s="86"/>
      <c r="NH32" s="86"/>
      <c r="NI32" s="86"/>
      <c r="NJ32" s="86"/>
      <c r="NK32" s="86"/>
      <c r="NL32" s="86"/>
      <c r="NM32" s="86"/>
      <c r="NN32" s="86"/>
      <c r="NO32" s="86"/>
      <c r="NP32" s="86"/>
      <c r="NQ32" s="86"/>
      <c r="NR32" s="86"/>
      <c r="NS32" s="86"/>
      <c r="NT32" s="86"/>
      <c r="NU32" s="86"/>
      <c r="NV32" s="86"/>
      <c r="NW32" s="86"/>
      <c r="NX32" s="86"/>
      <c r="NY32" s="86"/>
      <c r="NZ32" s="86"/>
      <c r="OA32" s="86"/>
      <c r="OB32" s="86"/>
      <c r="OC32" s="86"/>
      <c r="OD32" s="86"/>
      <c r="OE32" s="86"/>
      <c r="OF32" s="86"/>
      <c r="OG32" s="86"/>
      <c r="OH32" s="86"/>
      <c r="OI32" s="86"/>
      <c r="OJ32" s="86"/>
      <c r="OK32" s="86"/>
      <c r="OL32" s="86"/>
      <c r="OM32" s="86"/>
      <c r="ON32" s="86"/>
      <c r="OO32" s="86"/>
      <c r="OP32" s="86"/>
      <c r="OQ32" s="86"/>
      <c r="OR32" s="86"/>
      <c r="OS32" s="86"/>
      <c r="OT32" s="86"/>
      <c r="OU32" s="86"/>
      <c r="OV32" s="86"/>
      <c r="OW32" s="86"/>
      <c r="OX32" s="86"/>
      <c r="OY32" s="86"/>
      <c r="OZ32" s="86"/>
      <c r="PA32" s="86"/>
      <c r="PB32" s="86"/>
      <c r="PC32" s="86"/>
      <c r="PD32" s="86"/>
      <c r="PE32" s="86"/>
      <c r="PF32" s="86"/>
      <c r="PG32" s="86"/>
      <c r="PH32" s="86"/>
      <c r="PI32" s="86"/>
      <c r="PJ32" s="86"/>
      <c r="PK32" s="86"/>
      <c r="PL32" s="86"/>
      <c r="PM32" s="86"/>
      <c r="PN32" s="86"/>
      <c r="PO32" s="86"/>
      <c r="PP32" s="86"/>
      <c r="PQ32" s="86"/>
      <c r="PR32" s="86"/>
      <c r="PS32" s="86"/>
      <c r="PT32" s="86"/>
      <c r="PU32" s="86"/>
      <c r="PV32" s="86"/>
      <c r="PW32" s="86"/>
      <c r="PX32" s="86"/>
      <c r="PY32" s="86"/>
      <c r="PZ32" s="86"/>
      <c r="QA32" s="86"/>
      <c r="QB32" s="86"/>
      <c r="QC32" s="86"/>
      <c r="QD32" s="86"/>
      <c r="QE32" s="86"/>
      <c r="QF32" s="86"/>
      <c r="QG32" s="86"/>
      <c r="QH32" s="86"/>
      <c r="QI32" s="86"/>
      <c r="QJ32" s="86"/>
      <c r="QK32" s="86"/>
      <c r="QL32" s="86"/>
      <c r="QM32" s="86"/>
      <c r="QN32" s="86"/>
      <c r="QO32" s="86"/>
      <c r="QP32" s="86"/>
      <c r="QQ32" s="86"/>
      <c r="QR32" s="86"/>
      <c r="QS32" s="86"/>
      <c r="QT32" s="86"/>
      <c r="QU32" s="86"/>
      <c r="QV32" s="86"/>
      <c r="QW32" s="86"/>
      <c r="QX32" s="86"/>
      <c r="QY32" s="86"/>
      <c r="QZ32" s="86"/>
      <c r="RA32" s="86"/>
      <c r="RB32" s="86"/>
      <c r="RC32" s="86"/>
      <c r="RD32" s="86"/>
      <c r="RE32" s="86"/>
      <c r="RF32" s="86"/>
      <c r="RG32" s="86"/>
      <c r="RH32" s="86"/>
      <c r="RI32" s="86"/>
      <c r="RJ32" s="86"/>
      <c r="RK32" s="86"/>
      <c r="RL32" s="86"/>
      <c r="RM32" s="86"/>
    </row>
    <row r="33" spans="1:481">
      <c r="A33" s="150">
        <v>5.0999999999999996</v>
      </c>
      <c r="B33" s="153" t="s">
        <v>31</v>
      </c>
      <c r="C33" s="138">
        <v>13.009034051424599</v>
      </c>
      <c r="D33" s="138">
        <v>3.303075899072681</v>
      </c>
      <c r="E33" s="138" t="s">
        <v>248</v>
      </c>
      <c r="F33" s="138">
        <v>3.9343417053583352</v>
      </c>
      <c r="G33" s="138">
        <v>5.8841604402159895</v>
      </c>
      <c r="H33" s="138">
        <v>1</v>
      </c>
      <c r="I33" s="138">
        <v>1.087882</v>
      </c>
      <c r="J33" s="152">
        <v>2.661367155985686</v>
      </c>
      <c r="K33" s="138">
        <v>2.6110766666666669</v>
      </c>
      <c r="L33" s="138">
        <v>4.9965301873698822</v>
      </c>
      <c r="M33" s="138">
        <v>2.001389854065323</v>
      </c>
      <c r="N33" s="138">
        <v>5.7084696107799155</v>
      </c>
      <c r="O33" s="152">
        <v>6.9229959537887309</v>
      </c>
      <c r="P33" s="67" t="s">
        <v>248</v>
      </c>
      <c r="Q33" s="138">
        <v>11.401712125119845</v>
      </c>
      <c r="R33" s="138">
        <v>1.715576090028234</v>
      </c>
      <c r="S33" s="138">
        <v>20.300251232124332</v>
      </c>
      <c r="T33" s="152">
        <v>6.5896773338317871</v>
      </c>
      <c r="U33" s="138">
        <v>9</v>
      </c>
      <c r="V33" s="138">
        <v>2.2869280000000001</v>
      </c>
      <c r="W33" s="138">
        <v>10.954356846473029</v>
      </c>
      <c r="X33" s="138">
        <v>5.034965034965035</v>
      </c>
      <c r="Y33" s="138">
        <v>3.9944521497919556</v>
      </c>
      <c r="Z33" s="138">
        <v>4.2196870000000004</v>
      </c>
      <c r="AA33" s="138" t="s">
        <v>248</v>
      </c>
      <c r="AB33" s="138" t="s">
        <v>248</v>
      </c>
      <c r="AC33" s="152">
        <v>4.3576177197214188</v>
      </c>
      <c r="AD33" s="138">
        <v>10.231079616334513</v>
      </c>
      <c r="AE33" s="140"/>
      <c r="AF33" s="138" t="s">
        <v>248</v>
      </c>
      <c r="AG33" s="138">
        <v>12.388402873825923</v>
      </c>
      <c r="AH33" s="138">
        <v>16.16132</v>
      </c>
    </row>
    <row r="34" spans="1:481">
      <c r="A34" s="156">
        <v>5.2</v>
      </c>
      <c r="B34" s="157" t="s">
        <v>32</v>
      </c>
      <c r="C34" s="144">
        <v>7.0048644892286314</v>
      </c>
      <c r="D34" s="144">
        <v>5.1040628440425246</v>
      </c>
      <c r="E34" s="144">
        <v>4.9965301873698822</v>
      </c>
      <c r="F34" s="144">
        <v>29.97961791919985</v>
      </c>
      <c r="G34" s="144">
        <v>4.4677964984864715</v>
      </c>
      <c r="H34" s="144">
        <v>4</v>
      </c>
      <c r="I34" s="144">
        <v>41.45926</v>
      </c>
      <c r="J34" s="152">
        <v>6.2857473684146363</v>
      </c>
      <c r="K34" s="144">
        <v>14.402416666666666</v>
      </c>
      <c r="L34" s="138">
        <v>2</v>
      </c>
      <c r="M34" s="138" t="s">
        <v>248</v>
      </c>
      <c r="N34" s="138">
        <v>20.009393996566683</v>
      </c>
      <c r="O34" s="152">
        <v>6.262365505370906</v>
      </c>
      <c r="P34" s="67">
        <v>46.553533755274259</v>
      </c>
      <c r="Q34" s="144">
        <v>1.4069140860160476</v>
      </c>
      <c r="R34" s="144">
        <v>2.1339313168267804</v>
      </c>
      <c r="S34" s="144">
        <v>1.1337918866631831</v>
      </c>
      <c r="T34" s="152">
        <v>26.801729202270508</v>
      </c>
      <c r="U34" s="144">
        <v>9</v>
      </c>
      <c r="V34" s="144">
        <v>4.9475670000000003</v>
      </c>
      <c r="W34" s="144">
        <v>39.834024896265561</v>
      </c>
      <c r="X34" s="144">
        <v>1.0069930069930071</v>
      </c>
      <c r="Y34" s="144">
        <v>1.9972260748959778</v>
      </c>
      <c r="Z34" s="144">
        <v>9.2049210000000006</v>
      </c>
      <c r="AA34" s="138" t="s">
        <v>248</v>
      </c>
      <c r="AB34" s="138">
        <v>63.219512195594916</v>
      </c>
      <c r="AC34" s="152">
        <v>28.114276496218384</v>
      </c>
      <c r="AD34" s="144">
        <v>13.209769504633643</v>
      </c>
      <c r="AE34" s="140"/>
      <c r="AF34" s="144">
        <v>14.989590562109647</v>
      </c>
      <c r="AG34" s="138" t="s">
        <v>248</v>
      </c>
      <c r="AH34" s="144" t="s">
        <v>248</v>
      </c>
    </row>
    <row r="35" spans="1:481" s="149" customFormat="1">
      <c r="A35" s="145" t="s">
        <v>2</v>
      </c>
      <c r="B35" s="146" t="s">
        <v>33</v>
      </c>
      <c r="C35" s="147">
        <v>1440</v>
      </c>
      <c r="D35" s="147">
        <v>1440</v>
      </c>
      <c r="E35" s="147">
        <v>1440</v>
      </c>
      <c r="F35" s="147">
        <v>1440.066044202656</v>
      </c>
      <c r="G35" s="147">
        <v>1440</v>
      </c>
      <c r="H35" s="147">
        <v>1440.339901499912</v>
      </c>
      <c r="I35" s="147">
        <v>1439.9999088999998</v>
      </c>
      <c r="J35" s="158">
        <v>1440</v>
      </c>
      <c r="K35" s="147">
        <v>1440.0000376666665</v>
      </c>
      <c r="L35" s="158">
        <v>1439.9999999999998</v>
      </c>
      <c r="M35" s="158">
        <v>1440</v>
      </c>
      <c r="N35" s="158">
        <v>1440</v>
      </c>
      <c r="O35" s="158">
        <v>1440</v>
      </c>
      <c r="P35" s="46">
        <v>1440.1092599257634</v>
      </c>
      <c r="Q35" s="147">
        <v>1440</v>
      </c>
      <c r="R35" s="147">
        <v>1440.0000000000002</v>
      </c>
      <c r="S35" s="147">
        <v>1440</v>
      </c>
      <c r="T35" s="159">
        <v>1440</v>
      </c>
      <c r="U35" s="147">
        <v>1440</v>
      </c>
      <c r="V35" s="147">
        <v>1440.0000339999999</v>
      </c>
      <c r="W35" s="147">
        <v>1440</v>
      </c>
      <c r="X35" s="147">
        <v>1440</v>
      </c>
      <c r="Y35" s="147">
        <v>1440</v>
      </c>
      <c r="Z35" s="147">
        <v>1440.0001023999998</v>
      </c>
      <c r="AA35" s="158">
        <v>1440</v>
      </c>
      <c r="AB35" s="158">
        <v>1440</v>
      </c>
      <c r="AC35" s="158">
        <v>1439.9999999999998</v>
      </c>
      <c r="AD35" s="147">
        <v>1439.9999999999998</v>
      </c>
      <c r="AE35" s="221"/>
      <c r="AF35" s="147">
        <v>1440</v>
      </c>
      <c r="AG35" s="158">
        <v>1440</v>
      </c>
      <c r="AH35" s="147">
        <v>1440.0000190000001</v>
      </c>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c r="CY35" s="86"/>
      <c r="CZ35" s="86"/>
      <c r="DA35" s="86"/>
      <c r="DB35" s="86"/>
      <c r="DC35" s="86"/>
      <c r="DD35" s="86"/>
      <c r="DE35" s="86"/>
      <c r="DF35" s="86"/>
      <c r="DG35" s="86"/>
      <c r="DH35" s="86"/>
      <c r="DI35" s="86"/>
      <c r="DJ35" s="86"/>
      <c r="DK35" s="86"/>
      <c r="DL35" s="86"/>
      <c r="DM35" s="86"/>
      <c r="DN35" s="86"/>
      <c r="DO35" s="86"/>
      <c r="DP35" s="86"/>
      <c r="DQ35" s="86"/>
      <c r="DR35" s="86"/>
      <c r="DS35" s="86"/>
      <c r="DT35" s="86"/>
      <c r="DU35" s="86"/>
      <c r="DV35" s="86"/>
      <c r="DW35" s="86"/>
      <c r="DX35" s="86"/>
      <c r="DY35" s="86"/>
      <c r="DZ35" s="86"/>
      <c r="EA35" s="86"/>
      <c r="EB35" s="86"/>
      <c r="EC35" s="86"/>
      <c r="ED35" s="86"/>
      <c r="EE35" s="86"/>
      <c r="EF35" s="86"/>
      <c r="EG35" s="86"/>
      <c r="EH35" s="86"/>
      <c r="EI35" s="86"/>
      <c r="EJ35" s="86"/>
      <c r="EK35" s="86"/>
      <c r="EL35" s="86"/>
      <c r="EM35" s="86"/>
      <c r="EN35" s="86"/>
      <c r="EO35" s="86"/>
      <c r="EP35" s="86"/>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6"/>
      <c r="FO35" s="86"/>
      <c r="FP35" s="86"/>
      <c r="FQ35" s="86"/>
      <c r="FR35" s="86"/>
      <c r="FS35" s="86"/>
      <c r="FT35" s="86"/>
      <c r="FU35" s="86"/>
      <c r="FV35" s="86"/>
      <c r="FW35" s="86"/>
      <c r="FX35" s="86"/>
      <c r="FY35" s="86"/>
      <c r="FZ35" s="86"/>
      <c r="GA35" s="86"/>
      <c r="GB35" s="86"/>
      <c r="GC35" s="86"/>
      <c r="GD35" s="86"/>
      <c r="GE35" s="86"/>
      <c r="GF35" s="86"/>
      <c r="GG35" s="86"/>
      <c r="GH35" s="86"/>
      <c r="GI35" s="86"/>
      <c r="GJ35" s="86"/>
      <c r="GK35" s="86"/>
      <c r="GL35" s="86"/>
      <c r="GM35" s="86"/>
      <c r="GN35" s="86"/>
      <c r="GO35" s="86"/>
      <c r="GP35" s="86"/>
      <c r="GQ35" s="86"/>
      <c r="GR35" s="86"/>
      <c r="GS35" s="86"/>
      <c r="GT35" s="86"/>
      <c r="GU35" s="86"/>
      <c r="GV35" s="86"/>
      <c r="GW35" s="86"/>
      <c r="GX35" s="86"/>
      <c r="GY35" s="86"/>
      <c r="GZ35" s="86"/>
      <c r="HA35" s="86"/>
      <c r="HB35" s="86"/>
      <c r="HC35" s="86"/>
      <c r="HD35" s="86"/>
      <c r="HE35" s="86"/>
      <c r="HF35" s="86"/>
      <c r="HG35" s="86"/>
      <c r="HH35" s="86"/>
      <c r="HI35" s="86"/>
      <c r="HJ35" s="86"/>
      <c r="HK35" s="86"/>
      <c r="HL35" s="86"/>
      <c r="HM35" s="86"/>
      <c r="HN35" s="86"/>
      <c r="HO35" s="86"/>
      <c r="HP35" s="86"/>
      <c r="HQ35" s="86"/>
      <c r="HR35" s="86"/>
      <c r="HS35" s="86"/>
      <c r="HT35" s="86"/>
      <c r="HU35" s="86"/>
      <c r="HV35" s="86"/>
      <c r="HW35" s="86"/>
      <c r="HX35" s="86"/>
      <c r="HY35" s="86"/>
      <c r="HZ35" s="86"/>
      <c r="IA35" s="86"/>
      <c r="IB35" s="86"/>
      <c r="IC35" s="86"/>
      <c r="ID35" s="86"/>
      <c r="IE35" s="86"/>
      <c r="IF35" s="86"/>
      <c r="IG35" s="86"/>
      <c r="IH35" s="86"/>
      <c r="II35" s="86"/>
      <c r="IJ35" s="86"/>
      <c r="IK35" s="86"/>
      <c r="IL35" s="86"/>
      <c r="IM35" s="86"/>
      <c r="IN35" s="86"/>
      <c r="IO35" s="86"/>
      <c r="IP35" s="86"/>
      <c r="IQ35" s="86"/>
      <c r="IR35" s="86"/>
      <c r="IS35" s="86"/>
      <c r="IT35" s="86"/>
      <c r="IU35" s="86"/>
      <c r="IV35" s="86"/>
      <c r="IW35" s="86"/>
      <c r="IX35" s="86"/>
      <c r="IY35" s="86"/>
      <c r="IZ35" s="86"/>
      <c r="JA35" s="86"/>
      <c r="JB35" s="86"/>
      <c r="JC35" s="86"/>
      <c r="JD35" s="86"/>
      <c r="JE35" s="86"/>
      <c r="JF35" s="86"/>
      <c r="JG35" s="86"/>
      <c r="JH35" s="86"/>
      <c r="JI35" s="86"/>
      <c r="JJ35" s="86"/>
      <c r="JK35" s="86"/>
      <c r="JL35" s="86"/>
      <c r="JM35" s="86"/>
      <c r="JN35" s="86"/>
      <c r="JO35" s="86"/>
      <c r="JP35" s="86"/>
      <c r="JQ35" s="86"/>
      <c r="JR35" s="86"/>
      <c r="JS35" s="86"/>
      <c r="JT35" s="86"/>
      <c r="JU35" s="86"/>
      <c r="JV35" s="86"/>
      <c r="JW35" s="86"/>
      <c r="JX35" s="86"/>
      <c r="JY35" s="86"/>
      <c r="JZ35" s="86"/>
      <c r="KA35" s="86"/>
      <c r="KB35" s="86"/>
      <c r="KC35" s="86"/>
      <c r="KD35" s="86"/>
      <c r="KE35" s="86"/>
      <c r="KF35" s="86"/>
      <c r="KG35" s="86"/>
      <c r="KH35" s="86"/>
      <c r="KI35" s="86"/>
      <c r="KJ35" s="86"/>
      <c r="KK35" s="86"/>
      <c r="KL35" s="86"/>
      <c r="KM35" s="86"/>
      <c r="KN35" s="86"/>
      <c r="KO35" s="86"/>
      <c r="KP35" s="86"/>
      <c r="KQ35" s="86"/>
      <c r="KR35" s="86"/>
      <c r="KS35" s="86"/>
      <c r="KT35" s="86"/>
      <c r="KU35" s="86"/>
      <c r="KV35" s="86"/>
      <c r="KW35" s="86"/>
      <c r="KX35" s="86"/>
      <c r="KY35" s="86"/>
      <c r="KZ35" s="86"/>
      <c r="LA35" s="86"/>
      <c r="LB35" s="86"/>
      <c r="LC35" s="86"/>
      <c r="LD35" s="86"/>
      <c r="LE35" s="86"/>
      <c r="LF35" s="86"/>
      <c r="LG35" s="86"/>
      <c r="LH35" s="86"/>
      <c r="LI35" s="86"/>
      <c r="LJ35" s="86"/>
      <c r="LK35" s="86"/>
      <c r="LL35" s="86"/>
      <c r="LM35" s="86"/>
      <c r="LN35" s="86"/>
      <c r="LO35" s="86"/>
      <c r="LP35" s="86"/>
      <c r="LQ35" s="86"/>
      <c r="LR35" s="86"/>
      <c r="LS35" s="86"/>
      <c r="LT35" s="86"/>
      <c r="LU35" s="86"/>
      <c r="LV35" s="86"/>
      <c r="LW35" s="86"/>
      <c r="LX35" s="86"/>
      <c r="LY35" s="86"/>
      <c r="LZ35" s="86"/>
      <c r="MA35" s="86"/>
      <c r="MB35" s="86"/>
      <c r="MC35" s="86"/>
      <c r="MD35" s="86"/>
      <c r="ME35" s="86"/>
      <c r="MF35" s="86"/>
      <c r="MG35" s="86"/>
      <c r="MH35" s="86"/>
      <c r="MI35" s="86"/>
      <c r="MJ35" s="86"/>
      <c r="MK35" s="86"/>
      <c r="ML35" s="86"/>
      <c r="MM35" s="86"/>
      <c r="MN35" s="86"/>
      <c r="MO35" s="86"/>
      <c r="MP35" s="86"/>
      <c r="MQ35" s="86"/>
      <c r="MR35" s="86"/>
      <c r="MS35" s="86"/>
      <c r="MT35" s="86"/>
      <c r="MU35" s="86"/>
      <c r="MV35" s="86"/>
      <c r="MW35" s="86"/>
      <c r="MX35" s="86"/>
      <c r="MY35" s="86"/>
      <c r="MZ35" s="86"/>
      <c r="NA35" s="86"/>
      <c r="NB35" s="86"/>
      <c r="NC35" s="86"/>
      <c r="ND35" s="86"/>
      <c r="NE35" s="86"/>
      <c r="NF35" s="86"/>
      <c r="NG35" s="86"/>
      <c r="NH35" s="86"/>
      <c r="NI35" s="86"/>
      <c r="NJ35" s="86"/>
      <c r="NK35" s="86"/>
      <c r="NL35" s="86"/>
      <c r="NM35" s="86"/>
      <c r="NN35" s="86"/>
      <c r="NO35" s="86"/>
      <c r="NP35" s="86"/>
      <c r="NQ35" s="86"/>
      <c r="NR35" s="86"/>
      <c r="NS35" s="86"/>
      <c r="NT35" s="86"/>
      <c r="NU35" s="86"/>
      <c r="NV35" s="86"/>
      <c r="NW35" s="86"/>
      <c r="NX35" s="86"/>
      <c r="NY35" s="86"/>
      <c r="NZ35" s="86"/>
      <c r="OA35" s="86"/>
      <c r="OB35" s="86"/>
      <c r="OC35" s="86"/>
      <c r="OD35" s="86"/>
      <c r="OE35" s="86"/>
      <c r="OF35" s="86"/>
      <c r="OG35" s="86"/>
      <c r="OH35" s="86"/>
      <c r="OI35" s="86"/>
      <c r="OJ35" s="86"/>
      <c r="OK35" s="86"/>
      <c r="OL35" s="86"/>
      <c r="OM35" s="86"/>
      <c r="ON35" s="86"/>
      <c r="OO35" s="86"/>
      <c r="OP35" s="86"/>
      <c r="OQ35" s="86"/>
      <c r="OR35" s="86"/>
      <c r="OS35" s="86"/>
      <c r="OT35" s="86"/>
      <c r="OU35" s="86"/>
      <c r="OV35" s="86"/>
      <c r="OW35" s="86"/>
      <c r="OX35" s="86"/>
      <c r="OY35" s="86"/>
      <c r="OZ35" s="86"/>
      <c r="PA35" s="86"/>
      <c r="PB35" s="86"/>
      <c r="PC35" s="86"/>
      <c r="PD35" s="86"/>
      <c r="PE35" s="86"/>
      <c r="PF35" s="86"/>
      <c r="PG35" s="86"/>
      <c r="PH35" s="86"/>
      <c r="PI35" s="86"/>
      <c r="PJ35" s="86"/>
      <c r="PK35" s="86"/>
      <c r="PL35" s="86"/>
      <c r="PM35" s="86"/>
      <c r="PN35" s="86"/>
      <c r="PO35" s="86"/>
      <c r="PP35" s="86"/>
      <c r="PQ35" s="86"/>
      <c r="PR35" s="86"/>
      <c r="PS35" s="86"/>
      <c r="PT35" s="86"/>
      <c r="PU35" s="86"/>
      <c r="PV35" s="86"/>
      <c r="PW35" s="86"/>
      <c r="PX35" s="86"/>
      <c r="PY35" s="86"/>
      <c r="PZ35" s="86"/>
      <c r="QA35" s="86"/>
      <c r="QB35" s="86"/>
      <c r="QC35" s="86"/>
      <c r="QD35" s="86"/>
      <c r="QE35" s="86"/>
      <c r="QF35" s="86"/>
      <c r="QG35" s="86"/>
      <c r="QH35" s="86"/>
      <c r="QI35" s="86"/>
      <c r="QJ35" s="86"/>
      <c r="QK35" s="86"/>
      <c r="QL35" s="86"/>
      <c r="QM35" s="86"/>
      <c r="QN35" s="86"/>
      <c r="QO35" s="86"/>
      <c r="QP35" s="86"/>
      <c r="QQ35" s="86"/>
      <c r="QR35" s="86"/>
      <c r="QS35" s="86"/>
      <c r="QT35" s="86"/>
      <c r="QU35" s="86"/>
      <c r="QV35" s="86"/>
      <c r="QW35" s="86"/>
      <c r="QX35" s="86"/>
      <c r="QY35" s="86"/>
      <c r="QZ35" s="86"/>
      <c r="RA35" s="86"/>
      <c r="RB35" s="86"/>
      <c r="RC35" s="86"/>
      <c r="RD35" s="86"/>
      <c r="RE35" s="86"/>
      <c r="RF35" s="86"/>
      <c r="RG35" s="86"/>
      <c r="RH35" s="86"/>
      <c r="RI35" s="86"/>
      <c r="RJ35" s="86"/>
      <c r="RK35" s="86"/>
      <c r="RL35" s="86"/>
      <c r="RM35" s="86"/>
    </row>
    <row r="36" spans="1:481">
      <c r="A36" s="160" t="s">
        <v>502</v>
      </c>
      <c r="C36" s="91" t="s">
        <v>503</v>
      </c>
      <c r="D36" s="92"/>
      <c r="E36" s="91" t="s">
        <v>518</v>
      </c>
      <c r="F36" s="92"/>
      <c r="G36" s="92"/>
      <c r="H36" s="162"/>
      <c r="I36" s="92"/>
      <c r="J36" s="92"/>
      <c r="K36" s="92"/>
      <c r="L36" s="91" t="s">
        <v>517</v>
      </c>
      <c r="M36" s="91" t="s">
        <v>504</v>
      </c>
      <c r="N36" s="92"/>
      <c r="O36" s="92"/>
      <c r="P36" s="92"/>
      <c r="Q36" s="92"/>
      <c r="R36" s="92"/>
      <c r="S36" s="92"/>
      <c r="T36" s="92"/>
      <c r="U36" s="92"/>
      <c r="V36" s="92"/>
      <c r="W36" s="91" t="s">
        <v>503</v>
      </c>
      <c r="X36" s="92"/>
      <c r="Y36" s="92"/>
      <c r="Z36" s="92"/>
      <c r="AA36" s="91" t="s">
        <v>528</v>
      </c>
      <c r="AB36" s="91" t="s">
        <v>517</v>
      </c>
      <c r="AC36" s="92"/>
      <c r="AD36" s="92"/>
      <c r="AE36" s="86"/>
      <c r="AF36" s="91" t="s">
        <v>504</v>
      </c>
      <c r="AG36" s="93"/>
    </row>
    <row r="37" spans="1:481" ht="303.75">
      <c r="C37" s="91"/>
      <c r="D37" s="92"/>
      <c r="E37" s="92"/>
      <c r="F37" s="92"/>
      <c r="G37" s="92"/>
      <c r="H37" s="162"/>
      <c r="I37" s="92"/>
      <c r="J37" s="92"/>
      <c r="K37" s="92"/>
      <c r="L37" s="91"/>
      <c r="M37" s="92"/>
      <c r="N37" s="92"/>
      <c r="O37" s="92"/>
      <c r="P37" s="174" t="s">
        <v>559</v>
      </c>
      <c r="Q37" s="164"/>
      <c r="R37" s="183"/>
      <c r="S37" s="183" t="s">
        <v>556</v>
      </c>
      <c r="T37" s="175"/>
      <c r="U37" s="164"/>
      <c r="V37" s="176"/>
      <c r="W37" s="174" t="s">
        <v>524</v>
      </c>
      <c r="X37" s="164"/>
      <c r="Y37" s="175"/>
      <c r="Z37" s="164"/>
      <c r="AA37" s="175" t="s">
        <v>505</v>
      </c>
      <c r="AB37" s="174" t="s">
        <v>523</v>
      </c>
      <c r="AC37" s="92"/>
      <c r="AE37" s="92"/>
    </row>
    <row r="38" spans="1:481">
      <c r="C38" s="91"/>
      <c r="D38" s="92"/>
      <c r="E38" s="92"/>
      <c r="F38" s="92"/>
      <c r="G38" s="92"/>
      <c r="H38" s="162"/>
      <c r="I38" s="92"/>
      <c r="J38" s="92"/>
      <c r="K38" s="92"/>
      <c r="L38" s="91"/>
      <c r="M38" s="92"/>
      <c r="N38" s="92"/>
      <c r="O38" s="92"/>
      <c r="P38" s="92"/>
      <c r="Q38" s="92"/>
      <c r="R38" s="92"/>
      <c r="S38" s="92"/>
      <c r="T38" s="92"/>
      <c r="U38" s="92"/>
      <c r="V38" s="91"/>
      <c r="W38" s="92"/>
      <c r="X38" s="92"/>
      <c r="Y38" s="92"/>
      <c r="Z38" s="92"/>
      <c r="AA38" s="92"/>
      <c r="AB38" s="92"/>
      <c r="AC38" s="92"/>
      <c r="AE38" s="92"/>
    </row>
    <row r="39" spans="1:481">
      <c r="A39" s="164" t="s">
        <v>506</v>
      </c>
      <c r="B39" s="164"/>
      <c r="C39" s="164"/>
      <c r="D39" s="164"/>
      <c r="E39" s="164"/>
      <c r="P39" s="87"/>
      <c r="Q39" s="87"/>
      <c r="R39" s="87"/>
      <c r="T39" s="87"/>
      <c r="U39" s="87"/>
      <c r="V39" s="87"/>
      <c r="W39" s="87"/>
    </row>
    <row r="40" spans="1:481">
      <c r="A40" s="164" t="s">
        <v>507</v>
      </c>
      <c r="O40" s="87"/>
      <c r="P40" s="87"/>
      <c r="Q40" s="87"/>
      <c r="R40" s="87"/>
      <c r="T40" s="87"/>
      <c r="U40" s="87"/>
      <c r="V40" s="87"/>
      <c r="W40" s="87"/>
    </row>
    <row r="41" spans="1:481">
      <c r="C41" s="94"/>
      <c r="D41" s="94"/>
      <c r="E41" s="94"/>
      <c r="F41" s="94"/>
      <c r="G41" s="94"/>
      <c r="I41" s="94"/>
      <c r="J41" s="94"/>
      <c r="K41" s="94"/>
      <c r="L41" s="94"/>
      <c r="M41" s="94"/>
      <c r="N41" s="94"/>
      <c r="O41" s="94"/>
      <c r="P41" s="94"/>
      <c r="Q41" s="94"/>
      <c r="R41" s="94"/>
      <c r="S41" s="94"/>
      <c r="T41" s="94"/>
      <c r="U41" s="94"/>
      <c r="V41" s="94"/>
      <c r="W41" s="94"/>
      <c r="X41" s="94"/>
      <c r="Y41" s="94"/>
      <c r="Z41" s="94"/>
      <c r="AA41" s="94"/>
      <c r="AB41" s="94"/>
      <c r="AC41" s="94"/>
      <c r="AE41" s="94"/>
    </row>
    <row r="42" spans="1:481" s="132" customFormat="1" ht="12.75">
      <c r="A42" s="131" t="s">
        <v>508</v>
      </c>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row>
    <row r="43" spans="1:481">
      <c r="A43" s="165" t="s">
        <v>509</v>
      </c>
      <c r="B43" s="163"/>
      <c r="C43" s="163"/>
      <c r="D43" s="163"/>
      <c r="E43" s="163"/>
      <c r="F43" s="163"/>
      <c r="H43" s="88"/>
      <c r="O43" s="87"/>
      <c r="P43" s="87"/>
      <c r="Q43" s="87"/>
      <c r="R43" s="87"/>
      <c r="T43" s="87"/>
      <c r="U43" s="87"/>
      <c r="V43" s="87"/>
      <c r="W43" s="87"/>
      <c r="AF43" s="87"/>
      <c r="AG43" s="93"/>
    </row>
    <row r="44" spans="1:481" ht="22.5">
      <c r="A44" s="136" t="s">
        <v>510</v>
      </c>
      <c r="B44" s="137" t="s">
        <v>511</v>
      </c>
      <c r="C44" s="89" t="s">
        <v>492</v>
      </c>
      <c r="D44" s="89" t="s">
        <v>34</v>
      </c>
      <c r="E44" s="89" t="s">
        <v>493</v>
      </c>
      <c r="F44" s="89" t="s">
        <v>39</v>
      </c>
      <c r="G44" s="89" t="s">
        <v>238</v>
      </c>
      <c r="H44" s="138" t="s">
        <v>239</v>
      </c>
      <c r="I44" s="139" t="s">
        <v>40</v>
      </c>
      <c r="J44" s="89" t="s">
        <v>494</v>
      </c>
      <c r="K44" s="89" t="s">
        <v>43</v>
      </c>
      <c r="L44" s="87" t="s">
        <v>521</v>
      </c>
      <c r="M44" s="89" t="s">
        <v>495</v>
      </c>
      <c r="N44" s="89" t="s">
        <v>240</v>
      </c>
      <c r="O44" s="89" t="s">
        <v>496</v>
      </c>
      <c r="P44" s="89" t="s">
        <v>45</v>
      </c>
      <c r="Q44" s="89" t="s">
        <v>242</v>
      </c>
      <c r="R44" s="87" t="s">
        <v>52</v>
      </c>
      <c r="S44" s="89" t="s">
        <v>49</v>
      </c>
      <c r="T44" s="139" t="s">
        <v>243</v>
      </c>
      <c r="U44" s="139" t="s">
        <v>244</v>
      </c>
      <c r="V44" s="139" t="s">
        <v>497</v>
      </c>
      <c r="W44" s="139" t="s">
        <v>498</v>
      </c>
      <c r="X44" s="139" t="s">
        <v>245</v>
      </c>
      <c r="Y44" s="139" t="s">
        <v>246</v>
      </c>
      <c r="Z44" s="139" t="s">
        <v>53</v>
      </c>
      <c r="AA44" s="139" t="s">
        <v>417</v>
      </c>
      <c r="AB44" s="89" t="s">
        <v>603</v>
      </c>
      <c r="AC44" s="139" t="s">
        <v>499</v>
      </c>
      <c r="AD44" s="139" t="s">
        <v>500</v>
      </c>
      <c r="AE44" s="166"/>
      <c r="AF44" s="89" t="s">
        <v>501</v>
      </c>
      <c r="AG44" s="89" t="s">
        <v>342</v>
      </c>
      <c r="AH44" s="89" t="s">
        <v>343</v>
      </c>
      <c r="AI44" s="90" t="s">
        <v>343</v>
      </c>
    </row>
    <row r="45" spans="1:481">
      <c r="A45" s="141"/>
      <c r="B45" s="142"/>
      <c r="C45" s="143">
        <v>2006</v>
      </c>
      <c r="D45" s="143" t="s">
        <v>35</v>
      </c>
      <c r="E45" s="143">
        <v>2013</v>
      </c>
      <c r="F45" s="173">
        <v>2015</v>
      </c>
      <c r="G45" s="143">
        <v>2001</v>
      </c>
      <c r="H45" s="144" t="s">
        <v>41</v>
      </c>
      <c r="I45" s="173" t="s">
        <v>41</v>
      </c>
      <c r="J45" s="143" t="s">
        <v>41</v>
      </c>
      <c r="K45" s="143" t="s">
        <v>44</v>
      </c>
      <c r="L45" s="143">
        <v>2013</v>
      </c>
      <c r="M45" s="143" t="s">
        <v>515</v>
      </c>
      <c r="N45" s="143">
        <v>2005</v>
      </c>
      <c r="O45" s="143" t="s">
        <v>48</v>
      </c>
      <c r="P45" s="143">
        <v>2016</v>
      </c>
      <c r="Q45" s="143">
        <v>2009</v>
      </c>
      <c r="R45" s="143">
        <v>2003</v>
      </c>
      <c r="S45" s="143">
        <v>2014</v>
      </c>
      <c r="T45" s="143" t="s">
        <v>516</v>
      </c>
      <c r="U45" s="173" t="s">
        <v>41</v>
      </c>
      <c r="V45" s="143" t="s">
        <v>51</v>
      </c>
      <c r="W45" s="143">
        <v>2013</v>
      </c>
      <c r="X45" s="143">
        <v>1999</v>
      </c>
      <c r="Y45" s="143" t="s">
        <v>247</v>
      </c>
      <c r="Z45" s="173" t="s">
        <v>41</v>
      </c>
      <c r="AA45" s="173">
        <v>2010</v>
      </c>
      <c r="AB45" s="143" t="s">
        <v>54</v>
      </c>
      <c r="AC45" s="173" t="s">
        <v>55</v>
      </c>
      <c r="AD45" s="173">
        <v>2016</v>
      </c>
      <c r="AE45" s="166"/>
      <c r="AF45" s="143">
        <v>2008</v>
      </c>
      <c r="AG45" s="143">
        <v>1999</v>
      </c>
      <c r="AH45" s="143">
        <v>2000</v>
      </c>
      <c r="AI45" s="144">
        <v>2010</v>
      </c>
    </row>
    <row r="46" spans="1:481" s="149" customFormat="1">
      <c r="A46" s="145">
        <v>1</v>
      </c>
      <c r="B46" s="146" t="s">
        <v>3</v>
      </c>
      <c r="C46" s="147">
        <v>304.05574912891984</v>
      </c>
      <c r="D46" s="147">
        <v>364.78339429570298</v>
      </c>
      <c r="E46" s="147">
        <v>221.77003484320559</v>
      </c>
      <c r="F46" s="147">
        <v>340.51253168103125</v>
      </c>
      <c r="G46" s="147">
        <v>260.06775092011873</v>
      </c>
      <c r="H46" s="147">
        <v>264.07235769238264</v>
      </c>
      <c r="I46" s="147">
        <v>248.55974399999997</v>
      </c>
      <c r="J46" s="154">
        <v>235.13206520974788</v>
      </c>
      <c r="K46" s="147">
        <v>289.53188683333337</v>
      </c>
      <c r="L46" s="147">
        <v>226</v>
      </c>
      <c r="M46" s="147">
        <v>327.22724113968036</v>
      </c>
      <c r="N46" s="147">
        <v>343.90121880589851</v>
      </c>
      <c r="O46" s="148">
        <v>220.81396676153466</v>
      </c>
      <c r="P46" s="148">
        <v>468.10686064158199</v>
      </c>
      <c r="Q46" s="147">
        <v>421.89054726368158</v>
      </c>
      <c r="R46" s="148">
        <v>376.93106909732001</v>
      </c>
      <c r="S46" s="148">
        <v>485.93117933824482</v>
      </c>
      <c r="T46" s="148">
        <v>353.97418212890625</v>
      </c>
      <c r="U46" s="147">
        <v>338</v>
      </c>
      <c r="V46" s="148">
        <v>277.38289900000001</v>
      </c>
      <c r="W46" s="147">
        <v>276.1917998610146</v>
      </c>
      <c r="X46" s="147">
        <v>372.32704402515719</v>
      </c>
      <c r="Y46" s="147">
        <v>299.83286908077991</v>
      </c>
      <c r="Z46" s="147">
        <v>236.2291275</v>
      </c>
      <c r="AA46" s="147">
        <v>321.87591078776336</v>
      </c>
      <c r="AB46" s="147">
        <v>284.18410041841003</v>
      </c>
      <c r="AC46" s="147">
        <v>308.61597517412645</v>
      </c>
      <c r="AD46" s="147">
        <v>334.844284139754</v>
      </c>
      <c r="AE46" s="221"/>
      <c r="AF46" s="147">
        <v>390</v>
      </c>
      <c r="AG46" s="147">
        <v>390.57108730200252</v>
      </c>
      <c r="AH46" s="147">
        <v>294.16316999999998</v>
      </c>
      <c r="AI46" s="185">
        <v>294.16316999999998</v>
      </c>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c r="CY46" s="86"/>
      <c r="CZ46" s="86"/>
      <c r="DA46" s="86"/>
      <c r="DB46" s="86"/>
      <c r="DC46" s="86"/>
      <c r="DD46" s="86"/>
      <c r="DE46" s="86"/>
      <c r="DF46" s="86"/>
      <c r="DG46" s="86"/>
      <c r="DH46" s="86"/>
      <c r="DI46" s="86"/>
      <c r="DJ46" s="86"/>
      <c r="DK46" s="86"/>
      <c r="DL46" s="86"/>
      <c r="DM46" s="86"/>
      <c r="DN46" s="86"/>
      <c r="DO46" s="86"/>
      <c r="DP46" s="86"/>
      <c r="DQ46" s="86"/>
      <c r="DR46" s="86"/>
      <c r="DS46" s="86"/>
      <c r="DT46" s="86"/>
      <c r="DU46" s="86"/>
      <c r="DV46" s="86"/>
      <c r="DW46" s="86"/>
      <c r="DX46" s="86"/>
      <c r="DY46" s="86"/>
      <c r="DZ46" s="86"/>
      <c r="EA46" s="86"/>
      <c r="EB46" s="86"/>
      <c r="EC46" s="86"/>
      <c r="ED46" s="86"/>
      <c r="EE46" s="86"/>
      <c r="EF46" s="86"/>
      <c r="EG46" s="86"/>
      <c r="EH46" s="86"/>
      <c r="EI46" s="86"/>
      <c r="EJ46" s="86"/>
      <c r="EK46" s="86"/>
      <c r="EL46" s="86"/>
      <c r="EM46" s="86"/>
      <c r="EN46" s="86"/>
      <c r="EO46" s="86"/>
      <c r="EP46" s="86"/>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6"/>
      <c r="FO46" s="86"/>
      <c r="FP46" s="86"/>
      <c r="FQ46" s="86"/>
      <c r="FR46" s="86"/>
      <c r="FS46" s="86"/>
      <c r="FT46" s="86"/>
      <c r="FU46" s="86"/>
      <c r="FV46" s="86"/>
      <c r="FW46" s="86"/>
      <c r="FX46" s="86"/>
      <c r="FY46" s="86"/>
      <c r="FZ46" s="86"/>
      <c r="GA46" s="86"/>
      <c r="GB46" s="86"/>
      <c r="GC46" s="86"/>
      <c r="GD46" s="86"/>
      <c r="GE46" s="86"/>
      <c r="GF46" s="86"/>
      <c r="GG46" s="86"/>
      <c r="GH46" s="86"/>
      <c r="GI46" s="86"/>
      <c r="GJ46" s="86"/>
      <c r="GK46" s="86"/>
      <c r="GL46" s="86"/>
      <c r="GM46" s="86"/>
      <c r="GN46" s="86"/>
      <c r="GO46" s="86"/>
      <c r="GP46" s="86"/>
      <c r="GQ46" s="86"/>
      <c r="GR46" s="86"/>
      <c r="GS46" s="86"/>
      <c r="GT46" s="86"/>
      <c r="GU46" s="86"/>
      <c r="GV46" s="86"/>
      <c r="GW46" s="86"/>
      <c r="GX46" s="86"/>
      <c r="GY46" s="86"/>
      <c r="GZ46" s="86"/>
      <c r="HA46" s="86"/>
      <c r="HB46" s="86"/>
      <c r="HC46" s="86"/>
      <c r="HD46" s="86"/>
      <c r="HE46" s="86"/>
      <c r="HF46" s="86"/>
      <c r="HG46" s="86"/>
      <c r="HH46" s="86"/>
      <c r="HI46" s="86"/>
      <c r="HJ46" s="86"/>
      <c r="HK46" s="86"/>
      <c r="HL46" s="86"/>
      <c r="HM46" s="86"/>
      <c r="HN46" s="86"/>
      <c r="HO46" s="86"/>
      <c r="HP46" s="86"/>
      <c r="HQ46" s="86"/>
      <c r="HR46" s="86"/>
      <c r="HS46" s="86"/>
      <c r="HT46" s="86"/>
      <c r="HU46" s="86"/>
      <c r="HV46" s="86"/>
      <c r="HW46" s="86"/>
      <c r="HX46" s="86"/>
      <c r="HY46" s="86"/>
      <c r="HZ46" s="86"/>
      <c r="IA46" s="86"/>
      <c r="IB46" s="86"/>
      <c r="IC46" s="86"/>
      <c r="ID46" s="86"/>
      <c r="IE46" s="86"/>
      <c r="IF46" s="86"/>
      <c r="IG46" s="86"/>
      <c r="IH46" s="86"/>
      <c r="II46" s="86"/>
      <c r="IJ46" s="86"/>
      <c r="IK46" s="86"/>
      <c r="IL46" s="86"/>
      <c r="IM46" s="86"/>
      <c r="IN46" s="86"/>
      <c r="IO46" s="86"/>
      <c r="IP46" s="86"/>
      <c r="IQ46" s="86"/>
      <c r="IR46" s="86"/>
      <c r="IS46" s="86"/>
      <c r="IT46" s="86"/>
      <c r="IU46" s="86"/>
      <c r="IV46" s="86"/>
      <c r="IW46" s="86"/>
      <c r="IX46" s="86"/>
      <c r="IY46" s="86"/>
      <c r="IZ46" s="86"/>
      <c r="JA46" s="86"/>
      <c r="JB46" s="86"/>
      <c r="JC46" s="86"/>
      <c r="JD46" s="86"/>
      <c r="JE46" s="86"/>
      <c r="JF46" s="86"/>
      <c r="JG46" s="86"/>
      <c r="JH46" s="86"/>
      <c r="JI46" s="86"/>
      <c r="JJ46" s="86"/>
      <c r="JK46" s="86"/>
      <c r="JL46" s="86"/>
      <c r="JM46" s="86"/>
      <c r="JN46" s="86"/>
      <c r="JO46" s="86"/>
      <c r="JP46" s="86"/>
      <c r="JQ46" s="86"/>
      <c r="JR46" s="86"/>
      <c r="JS46" s="86"/>
      <c r="JT46" s="86"/>
      <c r="JU46" s="86"/>
      <c r="JV46" s="86"/>
      <c r="JW46" s="86"/>
      <c r="JX46" s="86"/>
      <c r="JY46" s="86"/>
      <c r="JZ46" s="86"/>
      <c r="KA46" s="86"/>
      <c r="KB46" s="86"/>
      <c r="KC46" s="86"/>
      <c r="KD46" s="86"/>
      <c r="KE46" s="86"/>
      <c r="KF46" s="86"/>
      <c r="KG46" s="86"/>
      <c r="KH46" s="86"/>
      <c r="KI46" s="86"/>
      <c r="KJ46" s="86"/>
      <c r="KK46" s="86"/>
      <c r="KL46" s="86"/>
      <c r="KM46" s="86"/>
      <c r="KN46" s="86"/>
      <c r="KO46" s="86"/>
      <c r="KP46" s="86"/>
      <c r="KQ46" s="86"/>
      <c r="KR46" s="86"/>
      <c r="KS46" s="86"/>
      <c r="KT46" s="86"/>
      <c r="KU46" s="86"/>
      <c r="KV46" s="86"/>
      <c r="KW46" s="86"/>
      <c r="KX46" s="86"/>
      <c r="KY46" s="86"/>
      <c r="KZ46" s="86"/>
      <c r="LA46" s="86"/>
      <c r="LB46" s="86"/>
      <c r="LC46" s="86"/>
      <c r="LD46" s="86"/>
      <c r="LE46" s="86"/>
      <c r="LF46" s="86"/>
      <c r="LG46" s="86"/>
      <c r="LH46" s="86"/>
      <c r="LI46" s="86"/>
      <c r="LJ46" s="86"/>
      <c r="LK46" s="86"/>
      <c r="LL46" s="86"/>
      <c r="LM46" s="86"/>
      <c r="LN46" s="86"/>
      <c r="LO46" s="86"/>
      <c r="LP46" s="86"/>
      <c r="LQ46" s="86"/>
      <c r="LR46" s="86"/>
      <c r="LS46" s="86"/>
      <c r="LT46" s="86"/>
      <c r="LU46" s="86"/>
      <c r="LV46" s="86"/>
      <c r="LW46" s="86"/>
      <c r="LX46" s="86"/>
      <c r="LY46" s="86"/>
      <c r="LZ46" s="86"/>
      <c r="MA46" s="86"/>
      <c r="MB46" s="86"/>
      <c r="MC46" s="86"/>
      <c r="MD46" s="86"/>
      <c r="ME46" s="86"/>
      <c r="MF46" s="86"/>
      <c r="MG46" s="86"/>
      <c r="MH46" s="86"/>
      <c r="MI46" s="86"/>
      <c r="MJ46" s="86"/>
      <c r="MK46" s="86"/>
      <c r="ML46" s="86"/>
      <c r="MM46" s="86"/>
      <c r="MN46" s="86"/>
      <c r="MO46" s="86"/>
      <c r="MP46" s="86"/>
      <c r="MQ46" s="86"/>
      <c r="MR46" s="86"/>
      <c r="MS46" s="86"/>
      <c r="MT46" s="86"/>
      <c r="MU46" s="86"/>
      <c r="MV46" s="86"/>
      <c r="MW46" s="86"/>
      <c r="MX46" s="86"/>
      <c r="MY46" s="86"/>
      <c r="MZ46" s="86"/>
      <c r="NA46" s="86"/>
      <c r="NB46" s="86"/>
      <c r="NC46" s="86"/>
      <c r="ND46" s="86"/>
      <c r="NE46" s="86"/>
      <c r="NF46" s="86"/>
      <c r="NG46" s="86"/>
      <c r="NH46" s="86"/>
      <c r="NI46" s="86"/>
      <c r="NJ46" s="86"/>
      <c r="NK46" s="86"/>
      <c r="NL46" s="86"/>
      <c r="NM46" s="86"/>
      <c r="NN46" s="86"/>
      <c r="NO46" s="86"/>
      <c r="NP46" s="86"/>
      <c r="NQ46" s="86"/>
      <c r="NR46" s="86"/>
      <c r="NS46" s="86"/>
      <c r="NT46" s="86"/>
      <c r="NU46" s="86"/>
      <c r="NV46" s="86"/>
      <c r="NW46" s="86"/>
      <c r="NX46" s="86"/>
      <c r="NY46" s="86"/>
      <c r="NZ46" s="86"/>
      <c r="OA46" s="86"/>
      <c r="OB46" s="86"/>
      <c r="OC46" s="86"/>
      <c r="OD46" s="86"/>
      <c r="OE46" s="86"/>
      <c r="OF46" s="86"/>
      <c r="OG46" s="86"/>
      <c r="OH46" s="86"/>
      <c r="OI46" s="86"/>
      <c r="OJ46" s="86"/>
      <c r="OK46" s="86"/>
      <c r="OL46" s="86"/>
      <c r="OM46" s="86"/>
      <c r="ON46" s="86"/>
      <c r="OO46" s="86"/>
      <c r="OP46" s="86"/>
      <c r="OQ46" s="86"/>
      <c r="OR46" s="86"/>
      <c r="OS46" s="86"/>
      <c r="OT46" s="86"/>
      <c r="OU46" s="86"/>
      <c r="OV46" s="86"/>
      <c r="OW46" s="86"/>
      <c r="OX46" s="86"/>
      <c r="OY46" s="86"/>
      <c r="OZ46" s="86"/>
      <c r="PA46" s="86"/>
      <c r="PB46" s="86"/>
      <c r="PC46" s="86"/>
      <c r="PD46" s="86"/>
      <c r="PE46" s="86"/>
      <c r="PF46" s="86"/>
      <c r="PG46" s="86"/>
      <c r="PH46" s="86"/>
      <c r="PI46" s="86"/>
      <c r="PJ46" s="86"/>
      <c r="PK46" s="86"/>
      <c r="PL46" s="86"/>
      <c r="PM46" s="86"/>
      <c r="PN46" s="86"/>
      <c r="PO46" s="86"/>
      <c r="PP46" s="86"/>
      <c r="PQ46" s="86"/>
      <c r="PR46" s="86"/>
      <c r="PS46" s="86"/>
      <c r="PT46" s="86"/>
      <c r="PU46" s="86"/>
      <c r="PV46" s="86"/>
      <c r="PW46" s="86"/>
      <c r="PX46" s="86"/>
      <c r="PY46" s="86"/>
      <c r="PZ46" s="86"/>
      <c r="QA46" s="86"/>
      <c r="QB46" s="86"/>
      <c r="QC46" s="86"/>
      <c r="QD46" s="86"/>
      <c r="QE46" s="86"/>
      <c r="QF46" s="86"/>
      <c r="QG46" s="86"/>
      <c r="QH46" s="86"/>
      <c r="QI46" s="86"/>
      <c r="QJ46" s="86"/>
      <c r="QK46" s="86"/>
      <c r="QL46" s="86"/>
      <c r="QM46" s="86"/>
      <c r="QN46" s="86"/>
      <c r="QO46" s="86"/>
      <c r="QP46" s="86"/>
      <c r="QQ46" s="86"/>
      <c r="QR46" s="86"/>
      <c r="QS46" s="86"/>
      <c r="QT46" s="86"/>
      <c r="QU46" s="86"/>
      <c r="QV46" s="86"/>
      <c r="QW46" s="86"/>
      <c r="QX46" s="86"/>
      <c r="QY46" s="86"/>
      <c r="QZ46" s="86"/>
      <c r="RA46" s="86"/>
      <c r="RB46" s="86"/>
      <c r="RC46" s="86"/>
      <c r="RD46" s="86"/>
      <c r="RE46" s="86"/>
      <c r="RF46" s="86"/>
      <c r="RG46" s="86"/>
      <c r="RH46" s="86"/>
      <c r="RI46" s="86"/>
      <c r="RJ46" s="86"/>
      <c r="RK46" s="86"/>
      <c r="RL46" s="86"/>
      <c r="RM46" s="86"/>
    </row>
    <row r="47" spans="1:481">
      <c r="A47" s="150">
        <v>1.1000000000000001</v>
      </c>
      <c r="B47" s="151" t="s">
        <v>4</v>
      </c>
      <c r="C47" s="138">
        <v>247.86062717770034</v>
      </c>
      <c r="D47" s="138">
        <v>303.39359999999999</v>
      </c>
      <c r="E47" s="138">
        <v>156.54355400696863</v>
      </c>
      <c r="F47" s="138">
        <v>270.13480113605004</v>
      </c>
      <c r="G47" s="138">
        <v>211.40338919194625</v>
      </c>
      <c r="H47" s="138">
        <v>210.91342237524756</v>
      </c>
      <c r="I47" s="138">
        <v>197.61779999999999</v>
      </c>
      <c r="J47" s="152">
        <v>173.53590915883964</v>
      </c>
      <c r="K47" s="138">
        <v>226.72183333333334</v>
      </c>
      <c r="L47" s="138">
        <v>157</v>
      </c>
      <c r="M47" s="138">
        <v>261.18137595552463</v>
      </c>
      <c r="N47" s="138">
        <v>279.53542760081945</v>
      </c>
      <c r="O47" s="152">
        <v>160.06779896173265</v>
      </c>
      <c r="P47" s="67">
        <v>375.16565492699772</v>
      </c>
      <c r="Q47" s="138">
        <v>281.592039800995</v>
      </c>
      <c r="R47" s="138">
        <v>323.2510203232564</v>
      </c>
      <c r="S47" s="152">
        <v>378.63586602695761</v>
      </c>
      <c r="T47" s="152">
        <v>279.11749267578125</v>
      </c>
      <c r="U47" s="138">
        <v>279</v>
      </c>
      <c r="V47" s="152">
        <v>199.16380000000001</v>
      </c>
      <c r="W47" s="138">
        <v>224.1556636553162</v>
      </c>
      <c r="X47" s="138">
        <v>299.87421383647802</v>
      </c>
      <c r="Y47" s="138">
        <v>235.65459610027855</v>
      </c>
      <c r="Z47" s="138">
        <v>180.9965</v>
      </c>
      <c r="AA47" s="138">
        <v>267.50246005104123</v>
      </c>
      <c r="AB47" s="138">
        <v>238.99581589958157</v>
      </c>
      <c r="AC47" s="138">
        <v>228.19170826711277</v>
      </c>
      <c r="AD47" s="138">
        <v>275.35069847027387</v>
      </c>
      <c r="AE47" s="140"/>
      <c r="AF47" s="138">
        <v>308</v>
      </c>
      <c r="AG47" s="138">
        <v>318.10182471090383</v>
      </c>
      <c r="AH47" s="138">
        <v>195.58459999999999</v>
      </c>
      <c r="AI47" s="138">
        <v>195.58459999999999</v>
      </c>
    </row>
    <row r="48" spans="1:481">
      <c r="A48" s="150">
        <v>1.2</v>
      </c>
      <c r="B48" s="151" t="s">
        <v>5</v>
      </c>
      <c r="C48" s="138">
        <v>31.10801393728223</v>
      </c>
      <c r="D48" s="138">
        <v>34.24632959570306</v>
      </c>
      <c r="E48" s="138">
        <v>25.087108013937282</v>
      </c>
      <c r="F48" s="138">
        <v>32.605672360565123</v>
      </c>
      <c r="G48" s="138">
        <v>28.714902606008341</v>
      </c>
      <c r="H48" s="138">
        <v>29.787094865433026</v>
      </c>
      <c r="I48" s="138">
        <v>21.318629999999999</v>
      </c>
      <c r="J48" s="152">
        <v>26.332791389786212</v>
      </c>
      <c r="K48" s="138">
        <v>32.576433333333334</v>
      </c>
      <c r="L48" s="138">
        <v>23</v>
      </c>
      <c r="M48" s="138">
        <v>32.022237665045168</v>
      </c>
      <c r="N48" s="138">
        <v>26.103874195075832</v>
      </c>
      <c r="O48" s="152">
        <v>26.671117992286337</v>
      </c>
      <c r="P48" s="67">
        <v>54.416243654822338</v>
      </c>
      <c r="Q48" s="138">
        <v>73.631840796019901</v>
      </c>
      <c r="R48" s="138">
        <v>42.549802441893895</v>
      </c>
      <c r="S48" s="152">
        <v>54.702497159742755</v>
      </c>
      <c r="T48" s="152">
        <v>33.689006805419922</v>
      </c>
      <c r="U48" s="138">
        <v>29.000000000000004</v>
      </c>
      <c r="V48" s="152">
        <v>35.768050000000002</v>
      </c>
      <c r="W48" s="138">
        <v>28.019457956914525</v>
      </c>
      <c r="X48" s="138">
        <v>32.20125786163522</v>
      </c>
      <c r="Y48" s="138">
        <v>28.077994428969362</v>
      </c>
      <c r="Z48" s="138">
        <v>24.225739999999998</v>
      </c>
      <c r="AA48" s="138">
        <v>20.668272558961778</v>
      </c>
      <c r="AB48" s="138" t="s">
        <v>519</v>
      </c>
      <c r="AC48" s="138">
        <v>48.832885442227642</v>
      </c>
      <c r="AD48" s="138">
        <v>25.936909855906055</v>
      </c>
      <c r="AE48" s="140"/>
      <c r="AF48" s="138">
        <v>56</v>
      </c>
      <c r="AG48" s="138">
        <v>44.437603494787645</v>
      </c>
      <c r="AH48" s="138">
        <v>44.359389999999998</v>
      </c>
      <c r="AI48" s="138">
        <v>44.359389999999998</v>
      </c>
    </row>
    <row r="49" spans="1:481">
      <c r="A49" s="150">
        <v>1.3</v>
      </c>
      <c r="B49" s="151" t="s">
        <v>6</v>
      </c>
      <c r="C49" s="138">
        <v>15.05226480836237</v>
      </c>
      <c r="D49" s="138">
        <v>23.146329999999999</v>
      </c>
      <c r="E49" s="138">
        <v>39.135888501742158</v>
      </c>
      <c r="F49" s="138">
        <v>21.282702843546993</v>
      </c>
      <c r="G49" s="138">
        <v>12.821433903650835</v>
      </c>
      <c r="H49" s="138">
        <v>23.371840451702059</v>
      </c>
      <c r="I49" s="138">
        <v>27.553460000000001</v>
      </c>
      <c r="J49" s="152">
        <v>23.771111254586426</v>
      </c>
      <c r="K49" s="138">
        <v>14.673765</v>
      </c>
      <c r="L49" s="138">
        <v>23</v>
      </c>
      <c r="M49" s="138">
        <v>34.023627519110491</v>
      </c>
      <c r="N49" s="138">
        <v>38.261917010003266</v>
      </c>
      <c r="O49" s="152">
        <v>13.680502188788283</v>
      </c>
      <c r="P49" s="230">
        <v>38.524962059762402</v>
      </c>
      <c r="Q49" s="138">
        <v>57.711442786069647</v>
      </c>
      <c r="R49" s="138">
        <v>7.8793261096083844</v>
      </c>
      <c r="S49" s="152">
        <v>38.6136628107215</v>
      </c>
      <c r="T49" s="152">
        <v>29.565372467041016</v>
      </c>
      <c r="U49" s="138">
        <v>21</v>
      </c>
      <c r="V49" s="152">
        <v>34.6145</v>
      </c>
      <c r="W49" s="138">
        <v>16.011118832522584</v>
      </c>
      <c r="X49" s="138">
        <v>32.20125786163522</v>
      </c>
      <c r="Y49" s="138">
        <v>21.058495821727018</v>
      </c>
      <c r="Z49" s="138">
        <v>18.474699999999999</v>
      </c>
      <c r="AA49" s="138">
        <v>9.7051781777606401</v>
      </c>
      <c r="AB49" s="234">
        <v>45.188284518828453</v>
      </c>
      <c r="AC49" s="138">
        <v>15.032787503801444</v>
      </c>
      <c r="AD49" s="138">
        <v>19.460079891888444</v>
      </c>
      <c r="AE49" s="140"/>
      <c r="AF49" s="138">
        <v>25.999999999999996</v>
      </c>
      <c r="AG49" s="138">
        <v>14.070235419235608</v>
      </c>
      <c r="AH49" s="138">
        <v>29.769069999999999</v>
      </c>
      <c r="AI49" s="138">
        <v>29.769069999999999</v>
      </c>
    </row>
    <row r="50" spans="1:481">
      <c r="A50" s="150">
        <v>1.4</v>
      </c>
      <c r="B50" s="153" t="s">
        <v>7</v>
      </c>
      <c r="C50" s="138">
        <v>10.034843205574912</v>
      </c>
      <c r="D50" s="138">
        <v>0.87387970000000004</v>
      </c>
      <c r="E50" s="138" t="s">
        <v>248</v>
      </c>
      <c r="F50" s="138">
        <v>14.340403196581557</v>
      </c>
      <c r="G50" s="138">
        <v>7.1280252185133541</v>
      </c>
      <c r="H50" s="138">
        <v>0</v>
      </c>
      <c r="I50" s="138" t="s">
        <v>248</v>
      </c>
      <c r="J50" s="152">
        <v>8.1801534317303215</v>
      </c>
      <c r="K50" s="138">
        <v>10.02961</v>
      </c>
      <c r="L50" s="138">
        <v>20</v>
      </c>
      <c r="M50" s="138" t="s">
        <v>248</v>
      </c>
      <c r="N50" s="138" t="s">
        <v>248</v>
      </c>
      <c r="O50" s="152">
        <v>13.105708673168623</v>
      </c>
      <c r="P50" s="230"/>
      <c r="Q50" s="138">
        <v>8.9552238805970141</v>
      </c>
      <c r="R50" s="138">
        <v>3.2509202225613829</v>
      </c>
      <c r="S50" s="152">
        <v>11.691720148840217</v>
      </c>
      <c r="T50" s="152">
        <v>11.602303504943848</v>
      </c>
      <c r="U50" s="138">
        <v>10</v>
      </c>
      <c r="V50" s="152">
        <v>3.5590579999999998</v>
      </c>
      <c r="W50" s="138">
        <v>8.005559416261292</v>
      </c>
      <c r="X50" s="138">
        <v>8.050314465408805</v>
      </c>
      <c r="Y50" s="138">
        <v>15.041782729805014</v>
      </c>
      <c r="Z50" s="138">
        <v>8.1429559999999999</v>
      </c>
      <c r="AA50" s="167" t="s">
        <v>248</v>
      </c>
      <c r="AB50" s="234"/>
      <c r="AC50" s="138">
        <v>13.670893827591474</v>
      </c>
      <c r="AD50" s="138">
        <v>11.097709938346053</v>
      </c>
      <c r="AE50" s="140"/>
      <c r="AF50" s="138" t="s">
        <v>248</v>
      </c>
      <c r="AG50" s="138">
        <v>13.961423677075464</v>
      </c>
      <c r="AH50" s="138">
        <v>13.246880000000001</v>
      </c>
      <c r="AI50" s="138">
        <v>13.246880000000001</v>
      </c>
    </row>
    <row r="51" spans="1:481">
      <c r="A51" s="150">
        <v>1.5</v>
      </c>
      <c r="B51" s="153" t="s">
        <v>8</v>
      </c>
      <c r="C51" s="138" t="s">
        <v>248</v>
      </c>
      <c r="D51" s="138">
        <v>1.9094530000000001</v>
      </c>
      <c r="E51" s="138">
        <v>1.0034843205574913</v>
      </c>
      <c r="F51" s="138">
        <v>2.1489521442875734</v>
      </c>
      <c r="G51" s="138" t="s">
        <v>248</v>
      </c>
      <c r="H51" s="138" t="s">
        <v>248</v>
      </c>
      <c r="I51" s="138" t="s">
        <v>248</v>
      </c>
      <c r="J51" s="152">
        <v>2.7758911465053662</v>
      </c>
      <c r="K51" s="138">
        <v>0.58771016666666676</v>
      </c>
      <c r="L51" s="138">
        <v>3</v>
      </c>
      <c r="M51" s="138" t="s">
        <v>248</v>
      </c>
      <c r="N51" s="138" t="s">
        <v>248</v>
      </c>
      <c r="O51" s="152">
        <v>3.9708992459972743</v>
      </c>
      <c r="P51" s="67" t="s">
        <v>248</v>
      </c>
      <c r="Q51" s="138" t="s">
        <v>248</v>
      </c>
      <c r="R51" s="138" t="s">
        <v>248</v>
      </c>
      <c r="S51" s="152">
        <v>2.2874331919826911</v>
      </c>
      <c r="T51" s="152" t="s">
        <v>248</v>
      </c>
      <c r="U51" s="138" t="s">
        <v>248</v>
      </c>
      <c r="V51" s="152" t="s">
        <v>248</v>
      </c>
      <c r="W51" s="138" t="s">
        <v>248</v>
      </c>
      <c r="X51" s="138" t="s">
        <v>248</v>
      </c>
      <c r="Y51" s="138" t="s">
        <v>248</v>
      </c>
      <c r="Z51" s="138">
        <v>3.8203749999999999</v>
      </c>
      <c r="AA51" s="167" t="s">
        <v>248</v>
      </c>
      <c r="AB51" s="138" t="s">
        <v>520</v>
      </c>
      <c r="AC51" s="138">
        <v>2.1933258319729219</v>
      </c>
      <c r="AD51" s="138">
        <v>2.9988859833395223</v>
      </c>
      <c r="AE51" s="140"/>
      <c r="AF51" s="138" t="s">
        <v>248</v>
      </c>
      <c r="AG51" s="138" t="s">
        <v>248</v>
      </c>
      <c r="AH51" s="138" t="s">
        <v>248</v>
      </c>
      <c r="AI51" s="138"/>
    </row>
    <row r="52" spans="1:481">
      <c r="A52" s="150">
        <v>1.6</v>
      </c>
      <c r="B52" s="153" t="s">
        <v>9</v>
      </c>
      <c r="C52" s="138" t="s">
        <v>248</v>
      </c>
      <c r="D52" s="138">
        <v>1.213802</v>
      </c>
      <c r="E52" s="138" t="s">
        <v>248</v>
      </c>
      <c r="F52" s="138" t="s">
        <v>248</v>
      </c>
      <c r="G52" s="138" t="s">
        <v>248</v>
      </c>
      <c r="H52" s="138" t="s">
        <v>248</v>
      </c>
      <c r="I52" s="138">
        <v>2.0698539999999999</v>
      </c>
      <c r="J52" s="152">
        <v>0.53620882829991046</v>
      </c>
      <c r="K52" s="138">
        <v>4.9425350000000003</v>
      </c>
      <c r="L52" s="138"/>
      <c r="M52" s="138" t="s">
        <v>248</v>
      </c>
      <c r="N52" s="138" t="s">
        <v>248</v>
      </c>
      <c r="O52" s="152">
        <v>3.3179396995615025</v>
      </c>
      <c r="P52" s="67" t="s">
        <v>248</v>
      </c>
      <c r="Q52" s="138" t="s">
        <v>248</v>
      </c>
      <c r="R52" s="138" t="s">
        <v>248</v>
      </c>
      <c r="S52" s="152" t="s">
        <v>248</v>
      </c>
      <c r="T52" s="152" t="s">
        <v>248</v>
      </c>
      <c r="U52" s="138" t="s">
        <v>248</v>
      </c>
      <c r="V52" s="152">
        <v>4.2774910000000004</v>
      </c>
      <c r="W52" s="138" t="s">
        <v>248</v>
      </c>
      <c r="X52" s="138" t="s">
        <v>248</v>
      </c>
      <c r="Y52" s="138" t="s">
        <v>248</v>
      </c>
      <c r="Z52" s="138">
        <v>0.56885649999999999</v>
      </c>
      <c r="AA52" s="167" t="s">
        <v>248</v>
      </c>
      <c r="AB52" s="138" t="s">
        <v>520</v>
      </c>
      <c r="AC52" s="138">
        <v>0.69437430142018386</v>
      </c>
      <c r="AD52" s="138">
        <v>0</v>
      </c>
      <c r="AE52" s="140"/>
      <c r="AF52" s="138" t="s">
        <v>248</v>
      </c>
      <c r="AG52" s="138" t="s">
        <v>248</v>
      </c>
      <c r="AH52" s="138">
        <v>11.20323</v>
      </c>
      <c r="AI52" s="138">
        <v>11.20323</v>
      </c>
    </row>
    <row r="53" spans="1:481" s="149" customFormat="1">
      <c r="A53" s="145">
        <v>2</v>
      </c>
      <c r="B53" s="146" t="s">
        <v>10</v>
      </c>
      <c r="C53" s="147">
        <v>171.595818815331</v>
      </c>
      <c r="D53" s="147">
        <v>135.28297602913966</v>
      </c>
      <c r="E53" s="147">
        <v>167.58188153310104</v>
      </c>
      <c r="F53" s="147">
        <v>148.13789751589471</v>
      </c>
      <c r="G53" s="147">
        <v>186.1360818597189</v>
      </c>
      <c r="H53" s="147">
        <v>160.16359010630146</v>
      </c>
      <c r="I53" s="147">
        <v>157.46491529999997</v>
      </c>
      <c r="J53" s="148">
        <v>134.93945332180451</v>
      </c>
      <c r="K53" s="147">
        <v>150.43200616666667</v>
      </c>
      <c r="L53" s="147">
        <v>109</v>
      </c>
      <c r="M53" s="147">
        <v>127.08825573314802</v>
      </c>
      <c r="N53" s="147">
        <v>129.21804240846907</v>
      </c>
      <c r="O53" s="148">
        <v>130.70904349081948</v>
      </c>
      <c r="P53" s="148">
        <v>40.3144591553718</v>
      </c>
      <c r="Q53" s="147">
        <v>44.975124378109456</v>
      </c>
      <c r="R53" s="147">
        <v>129.72689715060244</v>
      </c>
      <c r="S53" s="148">
        <v>136.69813364682878</v>
      </c>
      <c r="T53" s="148">
        <v>132.86923217773438</v>
      </c>
      <c r="U53" s="147">
        <v>141</v>
      </c>
      <c r="V53" s="148">
        <v>168.486943</v>
      </c>
      <c r="W53" s="147">
        <v>159.1104933981932</v>
      </c>
      <c r="X53" s="147">
        <v>96.268343815513632</v>
      </c>
      <c r="Y53" s="147">
        <v>166.46239554317549</v>
      </c>
      <c r="Z53" s="147">
        <v>145.90931270000002</v>
      </c>
      <c r="AA53" s="147">
        <v>153.9837004144884</v>
      </c>
      <c r="AB53" s="147">
        <v>85.355648535564853</v>
      </c>
      <c r="AC53" s="147">
        <v>140.08179519029616</v>
      </c>
      <c r="AD53" s="147">
        <v>150.22858916539673</v>
      </c>
      <c r="AE53" s="221"/>
      <c r="AF53" s="147">
        <v>91</v>
      </c>
      <c r="AG53" s="147">
        <v>51.767242334305003</v>
      </c>
      <c r="AH53" s="147">
        <v>102.93914110000001</v>
      </c>
      <c r="AI53" s="185">
        <v>102.93914110000001</v>
      </c>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c r="CY53" s="86"/>
      <c r="CZ53" s="86"/>
      <c r="DA53" s="86"/>
      <c r="DB53" s="86"/>
      <c r="DC53" s="86"/>
      <c r="DD53" s="86"/>
      <c r="DE53" s="86"/>
      <c r="DF53" s="86"/>
      <c r="DG53" s="86"/>
      <c r="DH53" s="86"/>
      <c r="DI53" s="86"/>
      <c r="DJ53" s="86"/>
      <c r="DK53" s="86"/>
      <c r="DL53" s="86"/>
      <c r="DM53" s="86"/>
      <c r="DN53" s="86"/>
      <c r="DO53" s="86"/>
      <c r="DP53" s="86"/>
      <c r="DQ53" s="86"/>
      <c r="DR53" s="86"/>
      <c r="DS53" s="86"/>
      <c r="DT53" s="86"/>
      <c r="DU53" s="86"/>
      <c r="DV53" s="86"/>
      <c r="DW53" s="86"/>
      <c r="DX53" s="86"/>
      <c r="DY53" s="86"/>
      <c r="DZ53" s="86"/>
      <c r="EA53" s="86"/>
      <c r="EB53" s="86"/>
      <c r="EC53" s="86"/>
      <c r="ED53" s="86"/>
      <c r="EE53" s="86"/>
      <c r="EF53" s="86"/>
      <c r="EG53" s="86"/>
      <c r="EH53" s="86"/>
      <c r="EI53" s="86"/>
      <c r="EJ53" s="86"/>
      <c r="EK53" s="86"/>
      <c r="EL53" s="86"/>
      <c r="EM53" s="86"/>
      <c r="EN53" s="86"/>
      <c r="EO53" s="86"/>
      <c r="EP53" s="86"/>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6"/>
      <c r="FO53" s="86"/>
      <c r="FP53" s="86"/>
      <c r="FQ53" s="86"/>
      <c r="FR53" s="86"/>
      <c r="FS53" s="86"/>
      <c r="FT53" s="86"/>
      <c r="FU53" s="86"/>
      <c r="FV53" s="86"/>
      <c r="FW53" s="86"/>
      <c r="FX53" s="86"/>
      <c r="FY53" s="86"/>
      <c r="FZ53" s="86"/>
      <c r="GA53" s="86"/>
      <c r="GB53" s="86"/>
      <c r="GC53" s="86"/>
      <c r="GD53" s="86"/>
      <c r="GE53" s="86"/>
      <c r="GF53" s="86"/>
      <c r="GG53" s="86"/>
      <c r="GH53" s="86"/>
      <c r="GI53" s="86"/>
      <c r="GJ53" s="86"/>
      <c r="GK53" s="86"/>
      <c r="GL53" s="86"/>
      <c r="GM53" s="86"/>
      <c r="GN53" s="86"/>
      <c r="GO53" s="86"/>
      <c r="GP53" s="86"/>
      <c r="GQ53" s="86"/>
      <c r="GR53" s="86"/>
      <c r="GS53" s="86"/>
      <c r="GT53" s="86"/>
      <c r="GU53" s="86"/>
      <c r="GV53" s="86"/>
      <c r="GW53" s="86"/>
      <c r="GX53" s="86"/>
      <c r="GY53" s="86"/>
      <c r="GZ53" s="86"/>
      <c r="HA53" s="86"/>
      <c r="HB53" s="86"/>
      <c r="HC53" s="86"/>
      <c r="HD53" s="86"/>
      <c r="HE53" s="86"/>
      <c r="HF53" s="86"/>
      <c r="HG53" s="86"/>
      <c r="HH53" s="86"/>
      <c r="HI53" s="86"/>
      <c r="HJ53" s="86"/>
      <c r="HK53" s="86"/>
      <c r="HL53" s="86"/>
      <c r="HM53" s="86"/>
      <c r="HN53" s="86"/>
      <c r="HO53" s="86"/>
      <c r="HP53" s="86"/>
      <c r="HQ53" s="86"/>
      <c r="HR53" s="86"/>
      <c r="HS53" s="86"/>
      <c r="HT53" s="86"/>
      <c r="HU53" s="86"/>
      <c r="HV53" s="86"/>
      <c r="HW53" s="86"/>
      <c r="HX53" s="86"/>
      <c r="HY53" s="86"/>
      <c r="HZ53" s="86"/>
      <c r="IA53" s="86"/>
      <c r="IB53" s="86"/>
      <c r="IC53" s="86"/>
      <c r="ID53" s="86"/>
      <c r="IE53" s="86"/>
      <c r="IF53" s="86"/>
      <c r="IG53" s="86"/>
      <c r="IH53" s="86"/>
      <c r="II53" s="86"/>
      <c r="IJ53" s="86"/>
      <c r="IK53" s="86"/>
      <c r="IL53" s="86"/>
      <c r="IM53" s="86"/>
      <c r="IN53" s="86"/>
      <c r="IO53" s="86"/>
      <c r="IP53" s="86"/>
      <c r="IQ53" s="86"/>
      <c r="IR53" s="86"/>
      <c r="IS53" s="86"/>
      <c r="IT53" s="86"/>
      <c r="IU53" s="86"/>
      <c r="IV53" s="86"/>
      <c r="IW53" s="86"/>
      <c r="IX53" s="86"/>
      <c r="IY53" s="86"/>
      <c r="IZ53" s="86"/>
      <c r="JA53" s="86"/>
      <c r="JB53" s="86"/>
      <c r="JC53" s="86"/>
      <c r="JD53" s="86"/>
      <c r="JE53" s="86"/>
      <c r="JF53" s="86"/>
      <c r="JG53" s="86"/>
      <c r="JH53" s="86"/>
      <c r="JI53" s="86"/>
      <c r="JJ53" s="86"/>
      <c r="JK53" s="86"/>
      <c r="JL53" s="86"/>
      <c r="JM53" s="86"/>
      <c r="JN53" s="86"/>
      <c r="JO53" s="86"/>
      <c r="JP53" s="86"/>
      <c r="JQ53" s="86"/>
      <c r="JR53" s="86"/>
      <c r="JS53" s="86"/>
      <c r="JT53" s="86"/>
      <c r="JU53" s="86"/>
      <c r="JV53" s="86"/>
      <c r="JW53" s="86"/>
      <c r="JX53" s="86"/>
      <c r="JY53" s="86"/>
      <c r="JZ53" s="86"/>
      <c r="KA53" s="86"/>
      <c r="KB53" s="86"/>
      <c r="KC53" s="86"/>
      <c r="KD53" s="86"/>
      <c r="KE53" s="86"/>
      <c r="KF53" s="86"/>
      <c r="KG53" s="86"/>
      <c r="KH53" s="86"/>
      <c r="KI53" s="86"/>
      <c r="KJ53" s="86"/>
      <c r="KK53" s="86"/>
      <c r="KL53" s="86"/>
      <c r="KM53" s="86"/>
      <c r="KN53" s="86"/>
      <c r="KO53" s="86"/>
      <c r="KP53" s="86"/>
      <c r="KQ53" s="86"/>
      <c r="KR53" s="86"/>
      <c r="KS53" s="86"/>
      <c r="KT53" s="86"/>
      <c r="KU53" s="86"/>
      <c r="KV53" s="86"/>
      <c r="KW53" s="86"/>
      <c r="KX53" s="86"/>
      <c r="KY53" s="86"/>
      <c r="KZ53" s="86"/>
      <c r="LA53" s="86"/>
      <c r="LB53" s="86"/>
      <c r="LC53" s="86"/>
      <c r="LD53" s="86"/>
      <c r="LE53" s="86"/>
      <c r="LF53" s="86"/>
      <c r="LG53" s="86"/>
      <c r="LH53" s="86"/>
      <c r="LI53" s="86"/>
      <c r="LJ53" s="86"/>
      <c r="LK53" s="86"/>
      <c r="LL53" s="86"/>
      <c r="LM53" s="86"/>
      <c r="LN53" s="86"/>
      <c r="LO53" s="86"/>
      <c r="LP53" s="86"/>
      <c r="LQ53" s="86"/>
      <c r="LR53" s="86"/>
      <c r="LS53" s="86"/>
      <c r="LT53" s="86"/>
      <c r="LU53" s="86"/>
      <c r="LV53" s="86"/>
      <c r="LW53" s="86"/>
      <c r="LX53" s="86"/>
      <c r="LY53" s="86"/>
      <c r="LZ53" s="86"/>
      <c r="MA53" s="86"/>
      <c r="MB53" s="86"/>
      <c r="MC53" s="86"/>
      <c r="MD53" s="86"/>
      <c r="ME53" s="86"/>
      <c r="MF53" s="86"/>
      <c r="MG53" s="86"/>
      <c r="MH53" s="86"/>
      <c r="MI53" s="86"/>
      <c r="MJ53" s="86"/>
      <c r="MK53" s="86"/>
      <c r="ML53" s="86"/>
      <c r="MM53" s="86"/>
      <c r="MN53" s="86"/>
      <c r="MO53" s="86"/>
      <c r="MP53" s="86"/>
      <c r="MQ53" s="86"/>
      <c r="MR53" s="86"/>
      <c r="MS53" s="86"/>
      <c r="MT53" s="86"/>
      <c r="MU53" s="86"/>
      <c r="MV53" s="86"/>
      <c r="MW53" s="86"/>
      <c r="MX53" s="86"/>
      <c r="MY53" s="86"/>
      <c r="MZ53" s="86"/>
      <c r="NA53" s="86"/>
      <c r="NB53" s="86"/>
      <c r="NC53" s="86"/>
      <c r="ND53" s="86"/>
      <c r="NE53" s="86"/>
      <c r="NF53" s="86"/>
      <c r="NG53" s="86"/>
      <c r="NH53" s="86"/>
      <c r="NI53" s="86"/>
      <c r="NJ53" s="86"/>
      <c r="NK53" s="86"/>
      <c r="NL53" s="86"/>
      <c r="NM53" s="86"/>
      <c r="NN53" s="86"/>
      <c r="NO53" s="86"/>
      <c r="NP53" s="86"/>
      <c r="NQ53" s="86"/>
      <c r="NR53" s="86"/>
      <c r="NS53" s="86"/>
      <c r="NT53" s="86"/>
      <c r="NU53" s="86"/>
      <c r="NV53" s="86"/>
      <c r="NW53" s="86"/>
      <c r="NX53" s="86"/>
      <c r="NY53" s="86"/>
      <c r="NZ53" s="86"/>
      <c r="OA53" s="86"/>
      <c r="OB53" s="86"/>
      <c r="OC53" s="86"/>
      <c r="OD53" s="86"/>
      <c r="OE53" s="86"/>
      <c r="OF53" s="86"/>
      <c r="OG53" s="86"/>
      <c r="OH53" s="86"/>
      <c r="OI53" s="86"/>
      <c r="OJ53" s="86"/>
      <c r="OK53" s="86"/>
      <c r="OL53" s="86"/>
      <c r="OM53" s="86"/>
      <c r="ON53" s="86"/>
      <c r="OO53" s="86"/>
      <c r="OP53" s="86"/>
      <c r="OQ53" s="86"/>
      <c r="OR53" s="86"/>
      <c r="OS53" s="86"/>
      <c r="OT53" s="86"/>
      <c r="OU53" s="86"/>
      <c r="OV53" s="86"/>
      <c r="OW53" s="86"/>
      <c r="OX53" s="86"/>
      <c r="OY53" s="86"/>
      <c r="OZ53" s="86"/>
      <c r="PA53" s="86"/>
      <c r="PB53" s="86"/>
      <c r="PC53" s="86"/>
      <c r="PD53" s="86"/>
      <c r="PE53" s="86"/>
      <c r="PF53" s="86"/>
      <c r="PG53" s="86"/>
      <c r="PH53" s="86"/>
      <c r="PI53" s="86"/>
      <c r="PJ53" s="86"/>
      <c r="PK53" s="86"/>
      <c r="PL53" s="86"/>
      <c r="PM53" s="86"/>
      <c r="PN53" s="86"/>
      <c r="PO53" s="86"/>
      <c r="PP53" s="86"/>
      <c r="PQ53" s="86"/>
      <c r="PR53" s="86"/>
      <c r="PS53" s="86"/>
      <c r="PT53" s="86"/>
      <c r="PU53" s="86"/>
      <c r="PV53" s="86"/>
      <c r="PW53" s="86"/>
      <c r="PX53" s="86"/>
      <c r="PY53" s="86"/>
      <c r="PZ53" s="86"/>
      <c r="QA53" s="86"/>
      <c r="QB53" s="86"/>
      <c r="QC53" s="86"/>
      <c r="QD53" s="86"/>
      <c r="QE53" s="86"/>
      <c r="QF53" s="86"/>
      <c r="QG53" s="86"/>
      <c r="QH53" s="86"/>
      <c r="QI53" s="86"/>
      <c r="QJ53" s="86"/>
      <c r="QK53" s="86"/>
      <c r="QL53" s="86"/>
      <c r="QM53" s="86"/>
      <c r="QN53" s="86"/>
      <c r="QO53" s="86"/>
      <c r="QP53" s="86"/>
      <c r="QQ53" s="86"/>
      <c r="QR53" s="86"/>
      <c r="QS53" s="86"/>
      <c r="QT53" s="86"/>
      <c r="QU53" s="86"/>
      <c r="QV53" s="86"/>
      <c r="QW53" s="86"/>
      <c r="QX53" s="86"/>
      <c r="QY53" s="86"/>
      <c r="QZ53" s="86"/>
      <c r="RA53" s="86"/>
      <c r="RB53" s="86"/>
      <c r="RC53" s="86"/>
      <c r="RD53" s="86"/>
      <c r="RE53" s="86"/>
      <c r="RF53" s="86"/>
      <c r="RG53" s="86"/>
      <c r="RH53" s="86"/>
      <c r="RI53" s="86"/>
      <c r="RJ53" s="86"/>
      <c r="RK53" s="86"/>
      <c r="RL53" s="86"/>
      <c r="RM53" s="86"/>
    </row>
    <row r="54" spans="1:481">
      <c r="A54" s="150">
        <v>2.1</v>
      </c>
      <c r="B54" s="151" t="s">
        <v>11</v>
      </c>
      <c r="C54" s="138">
        <v>93.324041811846698</v>
      </c>
      <c r="D54" s="138">
        <v>78.993709067435375</v>
      </c>
      <c r="E54" s="138">
        <v>97.337979094076658</v>
      </c>
      <c r="F54" s="138">
        <v>95.42144442234121</v>
      </c>
      <c r="G54" s="138">
        <v>107.20203506672331</v>
      </c>
      <c r="H54" s="138">
        <v>89.278606567182081</v>
      </c>
      <c r="I54" s="138">
        <v>84.421080000000003</v>
      </c>
      <c r="J54" s="152">
        <v>97.356795138275317</v>
      </c>
      <c r="K54" s="138">
        <v>80.502433333333329</v>
      </c>
      <c r="L54" s="138">
        <v>55.000000000000007</v>
      </c>
      <c r="M54" s="138">
        <v>65.045170257123004</v>
      </c>
      <c r="N54" s="138">
        <v>49.226486971931848</v>
      </c>
      <c r="O54" s="152">
        <v>63.610902917254556</v>
      </c>
      <c r="P54" s="67">
        <v>13.475901407713643</v>
      </c>
      <c r="Q54" s="138">
        <v>20.8955223880597</v>
      </c>
      <c r="R54" s="138">
        <v>85.196001853114112</v>
      </c>
      <c r="S54" s="152">
        <v>90.288698480377931</v>
      </c>
      <c r="T54" s="152">
        <v>62.970001220703125</v>
      </c>
      <c r="U54" s="138">
        <v>76</v>
      </c>
      <c r="V54" s="152">
        <v>55.697040000000001</v>
      </c>
      <c r="W54" s="138">
        <v>101.07018763029882</v>
      </c>
      <c r="X54" s="138">
        <v>51.320754716981128</v>
      </c>
      <c r="Y54" s="138">
        <v>114.3175487465181</v>
      </c>
      <c r="Z54" s="138">
        <v>69.68862</v>
      </c>
      <c r="AA54" s="167">
        <v>79.356550233509282</v>
      </c>
      <c r="AB54" s="138">
        <v>27.896779303659116</v>
      </c>
      <c r="AC54" s="138">
        <v>74.632616219726501</v>
      </c>
      <c r="AD54" s="138">
        <v>75.557489580236151</v>
      </c>
      <c r="AE54" s="140"/>
      <c r="AF54" s="138">
        <v>48</v>
      </c>
      <c r="AG54" s="138">
        <v>18.509226598831095</v>
      </c>
      <c r="AH54" s="138">
        <v>67.873580000000004</v>
      </c>
      <c r="AI54" s="138">
        <v>67.873580000000004</v>
      </c>
    </row>
    <row r="55" spans="1:481">
      <c r="A55" s="150">
        <v>2.2000000000000002</v>
      </c>
      <c r="B55" s="151" t="s">
        <v>12</v>
      </c>
      <c r="C55" s="138">
        <v>22.076655052264808</v>
      </c>
      <c r="D55" s="138">
        <v>15.743899814134519</v>
      </c>
      <c r="E55" s="138">
        <v>19.066202090592334</v>
      </c>
      <c r="F55" s="138">
        <v>18.89530054768974</v>
      </c>
      <c r="G55" s="138">
        <v>21.77840320004351</v>
      </c>
      <c r="H55" s="138">
        <v>20.365539480266829</v>
      </c>
      <c r="I55" s="138">
        <v>23.26773</v>
      </c>
      <c r="J55" s="152">
        <v>18.310860966406551</v>
      </c>
      <c r="K55" s="138">
        <v>27.215283333333332</v>
      </c>
      <c r="L55" s="138">
        <v>17</v>
      </c>
      <c r="M55" s="138">
        <v>17.011813759555245</v>
      </c>
      <c r="N55" s="138">
        <v>16.091261372698991</v>
      </c>
      <c r="O55" s="152">
        <v>23.011154724333387</v>
      </c>
      <c r="P55" s="67">
        <v>15.086582238735675</v>
      </c>
      <c r="Q55" s="138">
        <v>5.9701492537313436</v>
      </c>
      <c r="R55" s="138">
        <v>10.527990500444041</v>
      </c>
      <c r="S55" s="152">
        <v>10.852470747696588</v>
      </c>
      <c r="T55" s="152">
        <v>21.501277923583984</v>
      </c>
      <c r="U55" s="138">
        <v>17</v>
      </c>
      <c r="V55" s="152">
        <v>15.4939</v>
      </c>
      <c r="W55" s="138">
        <v>21.014593467685888</v>
      </c>
      <c r="X55" s="138">
        <v>10.062893081761006</v>
      </c>
      <c r="Y55" s="138">
        <v>15.041782729805014</v>
      </c>
      <c r="Z55" s="138">
        <v>20.00808</v>
      </c>
      <c r="AA55" s="167">
        <v>12.78626416074534</v>
      </c>
      <c r="AB55" s="138">
        <v>12.824659767480941</v>
      </c>
      <c r="AC55" s="138">
        <v>23.27829672753461</v>
      </c>
      <c r="AD55" s="138">
        <v>18.486909897294943</v>
      </c>
      <c r="AE55" s="140"/>
      <c r="AF55" s="138">
        <v>15</v>
      </c>
      <c r="AG55" s="138">
        <v>13.859667335647526</v>
      </c>
      <c r="AH55" s="138">
        <v>8.005096</v>
      </c>
      <c r="AI55" s="138">
        <v>8.005096</v>
      </c>
    </row>
    <row r="56" spans="1:481">
      <c r="A56" s="150">
        <v>2.2999999999999998</v>
      </c>
      <c r="B56" s="155" t="s">
        <v>13</v>
      </c>
      <c r="C56" s="138">
        <v>27.094076655052266</v>
      </c>
      <c r="D56" s="138">
        <v>20.8920183</v>
      </c>
      <c r="E56" s="138">
        <v>15.05226480836237</v>
      </c>
      <c r="F56" s="138">
        <v>19.070873027158719</v>
      </c>
      <c r="G56" s="138">
        <v>20.433925683013356</v>
      </c>
      <c r="H56" s="138">
        <v>18</v>
      </c>
      <c r="I56" s="138">
        <v>13.5989033</v>
      </c>
      <c r="J56" s="152">
        <v>14.000000738888927</v>
      </c>
      <c r="K56" s="138">
        <v>11.580928333333333</v>
      </c>
      <c r="L56" s="138">
        <v>11</v>
      </c>
      <c r="M56" s="138">
        <v>12.008339124391938</v>
      </c>
      <c r="N56" s="138">
        <v>28.785842757192011</v>
      </c>
      <c r="O56" s="152">
        <v>17.668903160421412</v>
      </c>
      <c r="P56" s="67" t="s">
        <v>558</v>
      </c>
      <c r="Q56" s="138">
        <v>9.9502487562189046</v>
      </c>
      <c r="R56" s="138">
        <v>4</v>
      </c>
      <c r="S56" s="152">
        <v>19.748012271981736</v>
      </c>
      <c r="T56" s="152">
        <v>19.100362777709961</v>
      </c>
      <c r="U56" s="138">
        <v>16</v>
      </c>
      <c r="V56" s="152">
        <v>14</v>
      </c>
      <c r="W56" s="138">
        <v>21.014593467685895</v>
      </c>
      <c r="X56" s="138">
        <v>6.0377358490566042</v>
      </c>
      <c r="Y56" s="138">
        <v>11.030640668523677</v>
      </c>
      <c r="Z56" s="138">
        <v>25</v>
      </c>
      <c r="AA56" s="167">
        <v>17.000116800539953</v>
      </c>
      <c r="AB56" s="138">
        <v>10.491950050198856</v>
      </c>
      <c r="AC56" s="138">
        <v>17.248554664331316</v>
      </c>
      <c r="AD56" s="138">
        <v>19.556009891355497</v>
      </c>
      <c r="AE56" s="140"/>
      <c r="AF56" s="138">
        <v>12.999999999999998</v>
      </c>
      <c r="AG56" s="138">
        <v>7.9013663631013484</v>
      </c>
      <c r="AH56" s="138">
        <v>3</v>
      </c>
      <c r="AI56" s="138">
        <v>3</v>
      </c>
    </row>
    <row r="57" spans="1:481">
      <c r="A57" s="150" t="s">
        <v>0</v>
      </c>
      <c r="B57" s="155" t="s">
        <v>14</v>
      </c>
      <c r="C57" s="138" t="s">
        <v>248</v>
      </c>
      <c r="D57" s="138">
        <v>20.392510000000001</v>
      </c>
      <c r="E57" s="138">
        <v>15</v>
      </c>
      <c r="F57" s="138">
        <v>18.081175015461927</v>
      </c>
      <c r="G57" s="138" t="s">
        <v>248</v>
      </c>
      <c r="H57" s="138">
        <v>18.006894549481355</v>
      </c>
      <c r="I57" s="138">
        <v>13.1937</v>
      </c>
      <c r="J57" s="152">
        <v>12.645040667377147</v>
      </c>
      <c r="K57" s="138">
        <v>10.675701666666667</v>
      </c>
      <c r="L57" s="138">
        <v>10</v>
      </c>
      <c r="M57" s="138">
        <v>12</v>
      </c>
      <c r="N57" s="138" t="s">
        <v>248</v>
      </c>
      <c r="O57" s="152">
        <v>16.291313099331006</v>
      </c>
      <c r="P57" s="67">
        <v>7.5587681197341565</v>
      </c>
      <c r="Q57" s="138" t="s">
        <v>248</v>
      </c>
      <c r="R57" s="138">
        <v>4</v>
      </c>
      <c r="S57" s="152">
        <v>15.347392812654729</v>
      </c>
      <c r="T57" s="152">
        <v>17.290401458740234</v>
      </c>
      <c r="U57" s="138">
        <v>16</v>
      </c>
      <c r="V57" s="152">
        <v>13.59421</v>
      </c>
      <c r="W57" s="138">
        <v>20.01389854065323</v>
      </c>
      <c r="X57" s="138" t="s">
        <v>248</v>
      </c>
      <c r="Y57" s="138">
        <v>11</v>
      </c>
      <c r="Z57" s="138">
        <v>23.07497</v>
      </c>
      <c r="AA57" s="167">
        <v>12.842881535886301</v>
      </c>
      <c r="AB57" s="138">
        <v>8.7852875053393173</v>
      </c>
      <c r="AC57" s="138">
        <v>14.506590846695989</v>
      </c>
      <c r="AD57" s="138">
        <v>18.200599898885553</v>
      </c>
      <c r="AE57" s="140"/>
      <c r="AF57" s="138" t="s">
        <v>248</v>
      </c>
      <c r="AG57" s="138" t="s">
        <v>248</v>
      </c>
      <c r="AH57" s="138">
        <v>2.7896909999999999</v>
      </c>
      <c r="AI57" s="138">
        <v>2.7896909999999999</v>
      </c>
    </row>
    <row r="58" spans="1:481">
      <c r="A58" s="150" t="s">
        <v>1</v>
      </c>
      <c r="B58" s="155" t="s">
        <v>15</v>
      </c>
      <c r="C58" s="138" t="s">
        <v>248</v>
      </c>
      <c r="D58" s="138">
        <v>1</v>
      </c>
      <c r="E58" s="138" t="s">
        <v>248</v>
      </c>
      <c r="F58" s="138">
        <v>0.63335282717639096</v>
      </c>
      <c r="G58" s="138" t="s">
        <v>248</v>
      </c>
      <c r="H58" s="138" t="s">
        <v>248</v>
      </c>
      <c r="I58" s="138">
        <v>1</v>
      </c>
      <c r="J58" s="152">
        <v>0.88496164670630917</v>
      </c>
      <c r="K58" s="138">
        <v>0.90522666666666673</v>
      </c>
      <c r="L58" s="138">
        <v>1</v>
      </c>
      <c r="M58" s="138" t="s">
        <v>248</v>
      </c>
      <c r="N58" s="138" t="s">
        <v>248</v>
      </c>
      <c r="O58" s="152">
        <v>1.377584053633097</v>
      </c>
      <c r="P58" s="230">
        <v>1.3397090376262499</v>
      </c>
      <c r="Q58" s="138" t="s">
        <v>248</v>
      </c>
      <c r="R58" s="138" t="s">
        <v>248</v>
      </c>
      <c r="S58" s="152">
        <v>4.40061945932701</v>
      </c>
      <c r="T58" s="152">
        <v>1.8099621534347534</v>
      </c>
      <c r="U58" s="138" t="s">
        <v>248</v>
      </c>
      <c r="V58" s="152">
        <v>0</v>
      </c>
      <c r="W58" s="138">
        <v>1.0006949270326615</v>
      </c>
      <c r="X58" s="138" t="s">
        <v>248</v>
      </c>
      <c r="Y58" s="138" t="s">
        <v>248</v>
      </c>
      <c r="Z58" s="138">
        <v>2.0755780000000001</v>
      </c>
      <c r="AA58" s="138">
        <v>4.1572352646536519</v>
      </c>
      <c r="AB58" s="138">
        <v>1.7066625448595354</v>
      </c>
      <c r="AC58" s="138">
        <v>3.0027200245688896</v>
      </c>
      <c r="AD58" s="138">
        <v>1.333446992591961</v>
      </c>
      <c r="AE58" s="140"/>
      <c r="AF58" s="138" t="s">
        <v>248</v>
      </c>
      <c r="AG58" s="138" t="s">
        <v>248</v>
      </c>
      <c r="AH58" s="138">
        <v>0.36404039999999999</v>
      </c>
      <c r="AI58" s="138">
        <v>0.36404039999999999</v>
      </c>
    </row>
    <row r="59" spans="1:481">
      <c r="A59" s="150">
        <v>2.4</v>
      </c>
      <c r="B59" s="155" t="s">
        <v>16</v>
      </c>
      <c r="C59" s="138" t="s">
        <v>248</v>
      </c>
      <c r="D59" s="138">
        <v>0.36607099999999998</v>
      </c>
      <c r="E59" s="138" t="s">
        <v>248</v>
      </c>
      <c r="F59" s="138">
        <v>3.3141824862469709</v>
      </c>
      <c r="G59" s="138">
        <v>11.300430963827949</v>
      </c>
      <c r="H59" s="138">
        <v>11.396261291035106</v>
      </c>
      <c r="I59" s="138">
        <v>1.512416</v>
      </c>
      <c r="J59" s="152">
        <v>0.77073494067767756</v>
      </c>
      <c r="K59" s="138">
        <v>5.8241883333333337</v>
      </c>
      <c r="L59" s="138">
        <v>6</v>
      </c>
      <c r="M59" s="138" t="s">
        <v>248</v>
      </c>
      <c r="N59" s="138" t="s">
        <v>248</v>
      </c>
      <c r="O59" s="152">
        <v>4.9158512550866167</v>
      </c>
      <c r="P59" s="230"/>
      <c r="Q59" s="138">
        <v>0</v>
      </c>
      <c r="R59" s="138">
        <v>11.529798256433581</v>
      </c>
      <c r="S59" s="152">
        <v>6.8089048648521979</v>
      </c>
      <c r="T59" s="152" t="s">
        <v>248</v>
      </c>
      <c r="U59" s="138">
        <v>6</v>
      </c>
      <c r="V59" s="152">
        <v>0</v>
      </c>
      <c r="W59" s="138">
        <v>8.005559416261292</v>
      </c>
      <c r="X59" s="138">
        <v>4.0251572327044025</v>
      </c>
      <c r="Y59" s="138">
        <v>9.0250696378830089</v>
      </c>
      <c r="Z59" s="138">
        <v>3.4142739999999998</v>
      </c>
      <c r="AA59" s="167" t="s">
        <v>248</v>
      </c>
      <c r="AB59" s="234">
        <v>34.14225941422594</v>
      </c>
      <c r="AC59" s="138">
        <v>5.0600436584690121</v>
      </c>
      <c r="AD59" s="138">
        <v>2.1836929878683717</v>
      </c>
      <c r="AE59" s="140"/>
      <c r="AF59" s="138">
        <v>2</v>
      </c>
      <c r="AG59" s="138">
        <v>1.1277350523132343</v>
      </c>
      <c r="AH59" s="138">
        <v>0.2846341</v>
      </c>
      <c r="AI59" s="138">
        <v>0.2846341</v>
      </c>
    </row>
    <row r="60" spans="1:481">
      <c r="A60" s="150">
        <v>2.5</v>
      </c>
      <c r="B60" s="155" t="s">
        <v>17</v>
      </c>
      <c r="C60" s="138">
        <v>4.013937282229965</v>
      </c>
      <c r="D60" s="138">
        <v>4.653314</v>
      </c>
      <c r="E60" s="138">
        <v>7.024390243902439</v>
      </c>
      <c r="F60" s="138">
        <v>3</v>
      </c>
      <c r="G60" s="138">
        <v>3.8569453176860868</v>
      </c>
      <c r="H60" s="138">
        <v>0</v>
      </c>
      <c r="I60" s="138">
        <v>4.1478060000000001</v>
      </c>
      <c r="J60" s="152" t="s">
        <v>248</v>
      </c>
      <c r="K60" s="138">
        <v>6.8530199999999999</v>
      </c>
      <c r="L60" s="138">
        <v>0</v>
      </c>
      <c r="M60" s="138">
        <v>1.0006949270326615</v>
      </c>
      <c r="N60" s="138">
        <v>9.0105771115704165</v>
      </c>
      <c r="O60" s="152">
        <v>2.9358864406139076</v>
      </c>
      <c r="P60" s="67">
        <v>2.8534983515620911</v>
      </c>
      <c r="Q60" s="138">
        <v>0.19900497512437809</v>
      </c>
      <c r="R60" s="138">
        <v>0</v>
      </c>
      <c r="S60" s="152">
        <v>2.5952707459603741</v>
      </c>
      <c r="T60" s="152">
        <v>18.900226593017578</v>
      </c>
      <c r="U60" s="138">
        <v>4</v>
      </c>
      <c r="V60" s="152">
        <v>6.3362129999999999</v>
      </c>
      <c r="W60" s="138">
        <v>8.005559416261292</v>
      </c>
      <c r="X60" s="138">
        <v>1.0062893081761006</v>
      </c>
      <c r="Y60" s="138">
        <v>1.0027855153203342</v>
      </c>
      <c r="Z60" s="138">
        <v>0.96965970000000001</v>
      </c>
      <c r="AA60" s="167" t="s">
        <v>248</v>
      </c>
      <c r="AB60" s="234"/>
      <c r="AC60" s="138">
        <v>2</v>
      </c>
      <c r="AD60" s="138">
        <v>5.0075459721802993</v>
      </c>
      <c r="AE60" s="140"/>
      <c r="AF60" s="138">
        <v>1</v>
      </c>
      <c r="AG60" s="138">
        <v>0.3371897447117545</v>
      </c>
      <c r="AH60" s="138">
        <v>1.568346</v>
      </c>
      <c r="AI60" s="138">
        <v>1.568346</v>
      </c>
    </row>
    <row r="61" spans="1:481">
      <c r="A61" s="150">
        <v>2.6</v>
      </c>
      <c r="B61" s="153" t="s">
        <v>18</v>
      </c>
      <c r="C61" s="138">
        <v>25.087108013937282</v>
      </c>
      <c r="D61" s="138">
        <v>12.911739847569738</v>
      </c>
      <c r="E61" s="138">
        <v>29.101045296167246</v>
      </c>
      <c r="F61" s="138">
        <v>8.7940583321088823</v>
      </c>
      <c r="G61" s="138">
        <v>21.56434162842465</v>
      </c>
      <c r="H61" s="138">
        <v>21.116288218336067</v>
      </c>
      <c r="I61" s="138">
        <v>19.961600000000001</v>
      </c>
      <c r="J61" s="152">
        <v>4.084303215560448</v>
      </c>
      <c r="K61" s="138">
        <v>16.95185</v>
      </c>
      <c r="L61" s="138">
        <v>20</v>
      </c>
      <c r="M61" s="138">
        <v>32.022237665045168</v>
      </c>
      <c r="N61" s="138">
        <v>26.103874195075832</v>
      </c>
      <c r="O61" s="152">
        <v>18.147647446049795</v>
      </c>
      <c r="P61" s="67" t="s">
        <v>46</v>
      </c>
      <c r="Q61" s="138">
        <v>7.9601990049751246</v>
      </c>
      <c r="R61" s="138">
        <v>18.305514203193773</v>
      </c>
      <c r="S61" s="152">
        <v>6.4047765359599156</v>
      </c>
      <c r="T61" s="152">
        <v>10.397368431091309</v>
      </c>
      <c r="U61" s="138">
        <v>22</v>
      </c>
      <c r="V61" s="152">
        <v>22.821269999999998</v>
      </c>
      <c r="W61" s="138" t="s">
        <v>46</v>
      </c>
      <c r="X61" s="138">
        <v>23.815513626834385</v>
      </c>
      <c r="Y61" s="138">
        <v>16.044568245125348</v>
      </c>
      <c r="Z61" s="138">
        <v>19.32338</v>
      </c>
      <c r="AA61" s="167">
        <v>16.396301825039043</v>
      </c>
      <c r="AB61" s="138" t="s">
        <v>46</v>
      </c>
      <c r="AC61" s="138">
        <v>17.945826290303206</v>
      </c>
      <c r="AD61" s="138">
        <v>25.254419859697666</v>
      </c>
      <c r="AE61" s="140"/>
      <c r="AF61" s="138">
        <v>12</v>
      </c>
      <c r="AG61" s="138">
        <v>10.032057239700046</v>
      </c>
      <c r="AH61" s="138">
        <v>8.1673650000000002</v>
      </c>
      <c r="AI61" s="138">
        <v>8.1673650000000002</v>
      </c>
    </row>
    <row r="62" spans="1:481" ht="12.75">
      <c r="A62" s="150">
        <v>2.7</v>
      </c>
      <c r="B62" s="153" t="s">
        <v>19</v>
      </c>
      <c r="C62" s="138" t="s">
        <v>248</v>
      </c>
      <c r="D62" s="138">
        <v>1.722224</v>
      </c>
      <c r="E62" s="138" t="s">
        <v>248</v>
      </c>
      <c r="F62" s="138" t="s">
        <v>248</v>
      </c>
      <c r="G62" s="138" t="s">
        <v>248</v>
      </c>
      <c r="H62" s="138" t="s">
        <v>248</v>
      </c>
      <c r="I62" s="138">
        <v>10.55538</v>
      </c>
      <c r="J62" s="152">
        <v>0.88675674680105054</v>
      </c>
      <c r="K62" s="138">
        <v>1.5043028333333335</v>
      </c>
      <c r="L62" s="138" t="s">
        <v>248</v>
      </c>
      <c r="M62" s="138" t="s">
        <v>248</v>
      </c>
      <c r="N62" s="138" t="s">
        <v>248</v>
      </c>
      <c r="O62" s="152">
        <v>0.41869754705981099</v>
      </c>
      <c r="P62" s="48" t="s">
        <v>248</v>
      </c>
      <c r="Q62" s="138" t="s">
        <v>248</v>
      </c>
      <c r="R62" s="138" t="s">
        <v>248</v>
      </c>
      <c r="S62" s="152" t="s">
        <v>248</v>
      </c>
      <c r="T62" s="152" t="s">
        <v>248</v>
      </c>
      <c r="U62" s="138" t="s">
        <v>248</v>
      </c>
      <c r="V62" s="152">
        <v>54.544310000000003</v>
      </c>
      <c r="W62" s="138" t="s">
        <v>248</v>
      </c>
      <c r="X62" s="138" t="s">
        <v>248</v>
      </c>
      <c r="Y62" s="138" t="s">
        <v>248</v>
      </c>
      <c r="Z62" s="138">
        <v>7.5052989999999999</v>
      </c>
      <c r="AA62" s="167">
        <v>4.444467394654656</v>
      </c>
      <c r="AB62" s="138" t="s">
        <v>248</v>
      </c>
      <c r="AC62" s="138" t="s">
        <v>248</v>
      </c>
      <c r="AD62" s="138">
        <v>4.1825209767637723</v>
      </c>
      <c r="AE62" s="140"/>
      <c r="AF62" s="138" t="s">
        <v>248</v>
      </c>
      <c r="AG62" s="138" t="s">
        <v>248</v>
      </c>
      <c r="AH62" s="138">
        <v>14.04012</v>
      </c>
      <c r="AI62" s="138">
        <v>14.04012</v>
      </c>
    </row>
    <row r="63" spans="1:481" s="149" customFormat="1">
      <c r="A63" s="145">
        <v>3</v>
      </c>
      <c r="B63" s="146" t="s">
        <v>20</v>
      </c>
      <c r="C63" s="147">
        <v>649.25435540069691</v>
      </c>
      <c r="D63" s="147">
        <v>623.62311909370703</v>
      </c>
      <c r="E63" s="147">
        <v>651.2613240418118</v>
      </c>
      <c r="F63" s="147">
        <v>621.77664093081808</v>
      </c>
      <c r="G63" s="147">
        <v>643.03950391638352</v>
      </c>
      <c r="H63" s="147">
        <v>663.61153653643885</v>
      </c>
      <c r="I63" s="147">
        <v>630.11623999999995</v>
      </c>
      <c r="J63" s="148">
        <v>742.955399211535</v>
      </c>
      <c r="K63" s="147">
        <v>637.57751666666661</v>
      </c>
      <c r="L63" s="147">
        <v>707</v>
      </c>
      <c r="M63" s="147">
        <v>681.47324530924254</v>
      </c>
      <c r="N63" s="147">
        <v>602.4523036224374</v>
      </c>
      <c r="O63" s="148">
        <v>710.31841844134397</v>
      </c>
      <c r="P63" s="148">
        <v>612.51169605944801</v>
      </c>
      <c r="Q63" s="147">
        <v>650.74626865671644</v>
      </c>
      <c r="R63" s="147">
        <v>639.6029005427647</v>
      </c>
      <c r="S63" s="148">
        <v>604.75021945304707</v>
      </c>
      <c r="T63" s="148">
        <v>618.9908447265625</v>
      </c>
      <c r="U63" s="147">
        <v>639</v>
      </c>
      <c r="V63" s="148">
        <v>614.54814999999996</v>
      </c>
      <c r="W63" s="147">
        <v>657.45656706045872</v>
      </c>
      <c r="X63" s="147">
        <v>677.23270440251588</v>
      </c>
      <c r="Y63" s="147">
        <v>631.75487465181061</v>
      </c>
      <c r="Z63" s="147">
        <v>696.87999000000002</v>
      </c>
      <c r="AA63" s="147">
        <v>573.23506961559121</v>
      </c>
      <c r="AB63" s="147">
        <v>692.88702928870293</v>
      </c>
      <c r="AC63" s="147">
        <v>634.91689171502401</v>
      </c>
      <c r="AD63" s="147">
        <v>629.96248650020846</v>
      </c>
      <c r="AE63" s="221"/>
      <c r="AF63" s="147">
        <v>696</v>
      </c>
      <c r="AG63" s="147">
        <v>702.77192738969404</v>
      </c>
      <c r="AH63" s="147">
        <v>695.37227000000007</v>
      </c>
      <c r="AI63" s="185">
        <v>695.37227000000007</v>
      </c>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86"/>
      <c r="CD63" s="86"/>
      <c r="CE63" s="86"/>
      <c r="CF63" s="86"/>
      <c r="CG63" s="86"/>
      <c r="CH63" s="86"/>
      <c r="CI63" s="86"/>
      <c r="CJ63" s="86"/>
      <c r="CK63" s="86"/>
      <c r="CL63" s="86"/>
      <c r="CM63" s="86"/>
      <c r="CN63" s="86"/>
      <c r="CO63" s="86"/>
      <c r="CP63" s="86"/>
      <c r="CQ63" s="86"/>
      <c r="CR63" s="86"/>
      <c r="CS63" s="86"/>
      <c r="CT63" s="86"/>
      <c r="CU63" s="86"/>
      <c r="CV63" s="86"/>
      <c r="CW63" s="86"/>
      <c r="CX63" s="86"/>
      <c r="CY63" s="86"/>
      <c r="CZ63" s="86"/>
      <c r="DA63" s="86"/>
      <c r="DB63" s="86"/>
      <c r="DC63" s="86"/>
      <c r="DD63" s="86"/>
      <c r="DE63" s="86"/>
      <c r="DF63" s="86"/>
      <c r="DG63" s="86"/>
      <c r="DH63" s="86"/>
      <c r="DI63" s="86"/>
      <c r="DJ63" s="86"/>
      <c r="DK63" s="86"/>
      <c r="DL63" s="86"/>
      <c r="DM63" s="86"/>
      <c r="DN63" s="86"/>
      <c r="DO63" s="86"/>
      <c r="DP63" s="86"/>
      <c r="DQ63" s="86"/>
      <c r="DR63" s="86"/>
      <c r="DS63" s="86"/>
      <c r="DT63" s="86"/>
      <c r="DU63" s="86"/>
      <c r="DV63" s="86"/>
      <c r="DW63" s="86"/>
      <c r="DX63" s="86"/>
      <c r="DY63" s="86"/>
      <c r="DZ63" s="86"/>
      <c r="EA63" s="86"/>
      <c r="EB63" s="86"/>
      <c r="EC63" s="86"/>
      <c r="ED63" s="86"/>
      <c r="EE63" s="86"/>
      <c r="EF63" s="86"/>
      <c r="EG63" s="86"/>
      <c r="EH63" s="86"/>
      <c r="EI63" s="86"/>
      <c r="EJ63" s="86"/>
      <c r="EK63" s="86"/>
      <c r="EL63" s="86"/>
      <c r="EM63" s="86"/>
      <c r="EN63" s="86"/>
      <c r="EO63" s="86"/>
      <c r="EP63" s="86"/>
      <c r="EQ63" s="86"/>
      <c r="ER63" s="86"/>
      <c r="ES63" s="86"/>
      <c r="ET63" s="86"/>
      <c r="EU63" s="86"/>
      <c r="EV63" s="86"/>
      <c r="EW63" s="86"/>
      <c r="EX63" s="86"/>
      <c r="EY63" s="86"/>
      <c r="EZ63" s="86"/>
      <c r="FA63" s="86"/>
      <c r="FB63" s="86"/>
      <c r="FC63" s="86"/>
      <c r="FD63" s="86"/>
      <c r="FE63" s="86"/>
      <c r="FF63" s="86"/>
      <c r="FG63" s="86"/>
      <c r="FH63" s="86"/>
      <c r="FI63" s="86"/>
      <c r="FJ63" s="86"/>
      <c r="FK63" s="86"/>
      <c r="FL63" s="86"/>
      <c r="FM63" s="86"/>
      <c r="FN63" s="86"/>
      <c r="FO63" s="86"/>
      <c r="FP63" s="86"/>
      <c r="FQ63" s="86"/>
      <c r="FR63" s="86"/>
      <c r="FS63" s="86"/>
      <c r="FT63" s="86"/>
      <c r="FU63" s="86"/>
      <c r="FV63" s="86"/>
      <c r="FW63" s="86"/>
      <c r="FX63" s="86"/>
      <c r="FY63" s="86"/>
      <c r="FZ63" s="86"/>
      <c r="GA63" s="86"/>
      <c r="GB63" s="86"/>
      <c r="GC63" s="86"/>
      <c r="GD63" s="86"/>
      <c r="GE63" s="86"/>
      <c r="GF63" s="86"/>
      <c r="GG63" s="86"/>
      <c r="GH63" s="86"/>
      <c r="GI63" s="86"/>
      <c r="GJ63" s="86"/>
      <c r="GK63" s="86"/>
      <c r="GL63" s="86"/>
      <c r="GM63" s="86"/>
      <c r="GN63" s="86"/>
      <c r="GO63" s="86"/>
      <c r="GP63" s="86"/>
      <c r="GQ63" s="86"/>
      <c r="GR63" s="86"/>
      <c r="GS63" s="86"/>
      <c r="GT63" s="86"/>
      <c r="GU63" s="86"/>
      <c r="GV63" s="86"/>
      <c r="GW63" s="86"/>
      <c r="GX63" s="86"/>
      <c r="GY63" s="86"/>
      <c r="GZ63" s="86"/>
      <c r="HA63" s="86"/>
      <c r="HB63" s="86"/>
      <c r="HC63" s="86"/>
      <c r="HD63" s="86"/>
      <c r="HE63" s="86"/>
      <c r="HF63" s="86"/>
      <c r="HG63" s="86"/>
      <c r="HH63" s="86"/>
      <c r="HI63" s="86"/>
      <c r="HJ63" s="86"/>
      <c r="HK63" s="86"/>
      <c r="HL63" s="86"/>
      <c r="HM63" s="86"/>
      <c r="HN63" s="86"/>
      <c r="HO63" s="86"/>
      <c r="HP63" s="86"/>
      <c r="HQ63" s="86"/>
      <c r="HR63" s="86"/>
      <c r="HS63" s="86"/>
      <c r="HT63" s="86"/>
      <c r="HU63" s="86"/>
      <c r="HV63" s="86"/>
      <c r="HW63" s="86"/>
      <c r="HX63" s="86"/>
      <c r="HY63" s="86"/>
      <c r="HZ63" s="86"/>
      <c r="IA63" s="86"/>
      <c r="IB63" s="86"/>
      <c r="IC63" s="86"/>
      <c r="ID63" s="86"/>
      <c r="IE63" s="86"/>
      <c r="IF63" s="86"/>
      <c r="IG63" s="86"/>
      <c r="IH63" s="86"/>
      <c r="II63" s="86"/>
      <c r="IJ63" s="86"/>
      <c r="IK63" s="86"/>
      <c r="IL63" s="86"/>
      <c r="IM63" s="86"/>
      <c r="IN63" s="86"/>
      <c r="IO63" s="86"/>
      <c r="IP63" s="86"/>
      <c r="IQ63" s="86"/>
      <c r="IR63" s="86"/>
      <c r="IS63" s="86"/>
      <c r="IT63" s="86"/>
      <c r="IU63" s="86"/>
      <c r="IV63" s="86"/>
      <c r="IW63" s="86"/>
      <c r="IX63" s="86"/>
      <c r="IY63" s="86"/>
      <c r="IZ63" s="86"/>
      <c r="JA63" s="86"/>
      <c r="JB63" s="86"/>
      <c r="JC63" s="86"/>
      <c r="JD63" s="86"/>
      <c r="JE63" s="86"/>
      <c r="JF63" s="86"/>
      <c r="JG63" s="86"/>
      <c r="JH63" s="86"/>
      <c r="JI63" s="86"/>
      <c r="JJ63" s="86"/>
      <c r="JK63" s="86"/>
      <c r="JL63" s="86"/>
      <c r="JM63" s="86"/>
      <c r="JN63" s="86"/>
      <c r="JO63" s="86"/>
      <c r="JP63" s="86"/>
      <c r="JQ63" s="86"/>
      <c r="JR63" s="86"/>
      <c r="JS63" s="86"/>
      <c r="JT63" s="86"/>
      <c r="JU63" s="86"/>
      <c r="JV63" s="86"/>
      <c r="JW63" s="86"/>
      <c r="JX63" s="86"/>
      <c r="JY63" s="86"/>
      <c r="JZ63" s="86"/>
      <c r="KA63" s="86"/>
      <c r="KB63" s="86"/>
      <c r="KC63" s="86"/>
      <c r="KD63" s="86"/>
      <c r="KE63" s="86"/>
      <c r="KF63" s="86"/>
      <c r="KG63" s="86"/>
      <c r="KH63" s="86"/>
      <c r="KI63" s="86"/>
      <c r="KJ63" s="86"/>
      <c r="KK63" s="86"/>
      <c r="KL63" s="86"/>
      <c r="KM63" s="86"/>
      <c r="KN63" s="86"/>
      <c r="KO63" s="86"/>
      <c r="KP63" s="86"/>
      <c r="KQ63" s="86"/>
      <c r="KR63" s="86"/>
      <c r="KS63" s="86"/>
      <c r="KT63" s="86"/>
      <c r="KU63" s="86"/>
      <c r="KV63" s="86"/>
      <c r="KW63" s="86"/>
      <c r="KX63" s="86"/>
      <c r="KY63" s="86"/>
      <c r="KZ63" s="86"/>
      <c r="LA63" s="86"/>
      <c r="LB63" s="86"/>
      <c r="LC63" s="86"/>
      <c r="LD63" s="86"/>
      <c r="LE63" s="86"/>
      <c r="LF63" s="86"/>
      <c r="LG63" s="86"/>
      <c r="LH63" s="86"/>
      <c r="LI63" s="86"/>
      <c r="LJ63" s="86"/>
      <c r="LK63" s="86"/>
      <c r="LL63" s="86"/>
      <c r="LM63" s="86"/>
      <c r="LN63" s="86"/>
      <c r="LO63" s="86"/>
      <c r="LP63" s="86"/>
      <c r="LQ63" s="86"/>
      <c r="LR63" s="86"/>
      <c r="LS63" s="86"/>
      <c r="LT63" s="86"/>
      <c r="LU63" s="86"/>
      <c r="LV63" s="86"/>
      <c r="LW63" s="86"/>
      <c r="LX63" s="86"/>
      <c r="LY63" s="86"/>
      <c r="LZ63" s="86"/>
      <c r="MA63" s="86"/>
      <c r="MB63" s="86"/>
      <c r="MC63" s="86"/>
      <c r="MD63" s="86"/>
      <c r="ME63" s="86"/>
      <c r="MF63" s="86"/>
      <c r="MG63" s="86"/>
      <c r="MH63" s="86"/>
      <c r="MI63" s="86"/>
      <c r="MJ63" s="86"/>
      <c r="MK63" s="86"/>
      <c r="ML63" s="86"/>
      <c r="MM63" s="86"/>
      <c r="MN63" s="86"/>
      <c r="MO63" s="86"/>
      <c r="MP63" s="86"/>
      <c r="MQ63" s="86"/>
      <c r="MR63" s="86"/>
      <c r="MS63" s="86"/>
      <c r="MT63" s="86"/>
      <c r="MU63" s="86"/>
      <c r="MV63" s="86"/>
      <c r="MW63" s="86"/>
      <c r="MX63" s="86"/>
      <c r="MY63" s="86"/>
      <c r="MZ63" s="86"/>
      <c r="NA63" s="86"/>
      <c r="NB63" s="86"/>
      <c r="NC63" s="86"/>
      <c r="ND63" s="86"/>
      <c r="NE63" s="86"/>
      <c r="NF63" s="86"/>
      <c r="NG63" s="86"/>
      <c r="NH63" s="86"/>
      <c r="NI63" s="86"/>
      <c r="NJ63" s="86"/>
      <c r="NK63" s="86"/>
      <c r="NL63" s="86"/>
      <c r="NM63" s="86"/>
      <c r="NN63" s="86"/>
      <c r="NO63" s="86"/>
      <c r="NP63" s="86"/>
      <c r="NQ63" s="86"/>
      <c r="NR63" s="86"/>
      <c r="NS63" s="86"/>
      <c r="NT63" s="86"/>
      <c r="NU63" s="86"/>
      <c r="NV63" s="86"/>
      <c r="NW63" s="86"/>
      <c r="NX63" s="86"/>
      <c r="NY63" s="86"/>
      <c r="NZ63" s="86"/>
      <c r="OA63" s="86"/>
      <c r="OB63" s="86"/>
      <c r="OC63" s="86"/>
      <c r="OD63" s="86"/>
      <c r="OE63" s="86"/>
      <c r="OF63" s="86"/>
      <c r="OG63" s="86"/>
      <c r="OH63" s="86"/>
      <c r="OI63" s="86"/>
      <c r="OJ63" s="86"/>
      <c r="OK63" s="86"/>
      <c r="OL63" s="86"/>
      <c r="OM63" s="86"/>
      <c r="ON63" s="86"/>
      <c r="OO63" s="86"/>
      <c r="OP63" s="86"/>
      <c r="OQ63" s="86"/>
      <c r="OR63" s="86"/>
      <c r="OS63" s="86"/>
      <c r="OT63" s="86"/>
      <c r="OU63" s="86"/>
      <c r="OV63" s="86"/>
      <c r="OW63" s="86"/>
      <c r="OX63" s="86"/>
      <c r="OY63" s="86"/>
      <c r="OZ63" s="86"/>
      <c r="PA63" s="86"/>
      <c r="PB63" s="86"/>
      <c r="PC63" s="86"/>
      <c r="PD63" s="86"/>
      <c r="PE63" s="86"/>
      <c r="PF63" s="86"/>
      <c r="PG63" s="86"/>
      <c r="PH63" s="86"/>
      <c r="PI63" s="86"/>
      <c r="PJ63" s="86"/>
      <c r="PK63" s="86"/>
      <c r="PL63" s="86"/>
      <c r="PM63" s="86"/>
      <c r="PN63" s="86"/>
      <c r="PO63" s="86"/>
      <c r="PP63" s="86"/>
      <c r="PQ63" s="86"/>
      <c r="PR63" s="86"/>
      <c r="PS63" s="86"/>
      <c r="PT63" s="86"/>
      <c r="PU63" s="86"/>
      <c r="PV63" s="86"/>
      <c r="PW63" s="86"/>
      <c r="PX63" s="86"/>
      <c r="PY63" s="86"/>
      <c r="PZ63" s="86"/>
      <c r="QA63" s="86"/>
      <c r="QB63" s="86"/>
      <c r="QC63" s="86"/>
      <c r="QD63" s="86"/>
      <c r="QE63" s="86"/>
      <c r="QF63" s="86"/>
      <c r="QG63" s="86"/>
      <c r="QH63" s="86"/>
      <c r="QI63" s="86"/>
      <c r="QJ63" s="86"/>
      <c r="QK63" s="86"/>
      <c r="QL63" s="86"/>
      <c r="QM63" s="86"/>
      <c r="QN63" s="86"/>
      <c r="QO63" s="86"/>
      <c r="QP63" s="86"/>
      <c r="QQ63" s="86"/>
      <c r="QR63" s="86"/>
      <c r="QS63" s="86"/>
      <c r="QT63" s="86"/>
      <c r="QU63" s="86"/>
      <c r="QV63" s="86"/>
      <c r="QW63" s="86"/>
      <c r="QX63" s="86"/>
      <c r="QY63" s="86"/>
      <c r="QZ63" s="86"/>
      <c r="RA63" s="86"/>
      <c r="RB63" s="86"/>
      <c r="RC63" s="86"/>
      <c r="RD63" s="86"/>
      <c r="RE63" s="86"/>
      <c r="RF63" s="86"/>
      <c r="RG63" s="86"/>
      <c r="RH63" s="86"/>
      <c r="RI63" s="86"/>
      <c r="RJ63" s="86"/>
      <c r="RK63" s="86"/>
      <c r="RL63" s="86"/>
      <c r="RM63" s="86"/>
    </row>
    <row r="64" spans="1:481">
      <c r="A64" s="150">
        <v>3.1</v>
      </c>
      <c r="B64" s="151" t="s">
        <v>21</v>
      </c>
      <c r="C64" s="138">
        <v>512.78048780487813</v>
      </c>
      <c r="D64" s="138">
        <v>495.9803</v>
      </c>
      <c r="E64" s="138">
        <v>511.77700348432057</v>
      </c>
      <c r="F64" s="138">
        <v>514.18807557412583</v>
      </c>
      <c r="G64" s="138">
        <v>479.38033730943374</v>
      </c>
      <c r="H64" s="138">
        <v>531.83143642421703</v>
      </c>
      <c r="I64" s="138">
        <v>504.94099999999997</v>
      </c>
      <c r="J64" s="152">
        <v>509.22062687553313</v>
      </c>
      <c r="K64" s="138">
        <v>493.93616666666662</v>
      </c>
      <c r="L64" s="138">
        <v>516</v>
      </c>
      <c r="M64" s="138" t="s">
        <v>248</v>
      </c>
      <c r="N64" s="138">
        <v>487.84782687751243</v>
      </c>
      <c r="O64" s="152">
        <v>514.30252558286327</v>
      </c>
      <c r="P64" s="67">
        <v>449.7298655083992</v>
      </c>
      <c r="Q64" s="138">
        <v>460.69651741293535</v>
      </c>
      <c r="R64" s="138">
        <v>510.13636529996893</v>
      </c>
      <c r="S64" s="152">
        <v>478.94077292567135</v>
      </c>
      <c r="T64" s="152">
        <v>497.79434204101563</v>
      </c>
      <c r="U64" s="138">
        <v>522</v>
      </c>
      <c r="V64" s="152">
        <v>484.24709999999999</v>
      </c>
      <c r="W64" s="138">
        <v>510.35441278665735</v>
      </c>
      <c r="X64" s="138">
        <v>503.1446540880504</v>
      </c>
      <c r="Y64" s="138">
        <v>501.39275766016715</v>
      </c>
      <c r="Z64" s="138">
        <v>520.09050000000002</v>
      </c>
      <c r="AA64" s="138">
        <v>503.11680437537524</v>
      </c>
      <c r="AB64" s="138">
        <v>526.19246861924682</v>
      </c>
      <c r="AC64" s="138">
        <v>504.45306059154154</v>
      </c>
      <c r="AD64" s="138">
        <v>518.61169711882383</v>
      </c>
      <c r="AE64" s="140"/>
      <c r="AF64" s="138">
        <v>540</v>
      </c>
      <c r="AG64" s="138">
        <v>534.40405226534028</v>
      </c>
      <c r="AH64" s="138">
        <v>549.07380000000001</v>
      </c>
      <c r="AI64" s="138">
        <v>549.07380000000001</v>
      </c>
    </row>
    <row r="65" spans="1:481">
      <c r="A65" s="150">
        <v>3.2</v>
      </c>
      <c r="B65" s="153" t="s">
        <v>22</v>
      </c>
      <c r="C65" s="138">
        <v>87.303135888501743</v>
      </c>
      <c r="D65" s="138">
        <v>76.768339093707112</v>
      </c>
      <c r="E65" s="138">
        <v>90.313588850174213</v>
      </c>
      <c r="F65" s="138">
        <v>64.984300959091129</v>
      </c>
      <c r="G65" s="138">
        <v>117.86029136553374</v>
      </c>
      <c r="H65" s="138">
        <v>82.037157303173643</v>
      </c>
      <c r="I65" s="138">
        <v>80.249719999999996</v>
      </c>
      <c r="J65" s="152">
        <v>134.30880708852035</v>
      </c>
      <c r="K65" s="138">
        <v>93.405799999999999</v>
      </c>
      <c r="L65" s="138">
        <v>138</v>
      </c>
      <c r="M65" s="138" t="s">
        <v>248</v>
      </c>
      <c r="N65" s="138">
        <v>77.659212587492817</v>
      </c>
      <c r="O65" s="152">
        <v>128.97600339449372</v>
      </c>
      <c r="P65" s="67">
        <v>90.059422261761469</v>
      </c>
      <c r="Q65" s="138">
        <v>107.46268656716417</v>
      </c>
      <c r="R65" s="138">
        <v>92.98884096220543</v>
      </c>
      <c r="S65" s="152">
        <v>74.611335946040711</v>
      </c>
      <c r="T65" s="152">
        <v>61.267436981201172</v>
      </c>
      <c r="U65" s="138">
        <v>79</v>
      </c>
      <c r="V65" s="152">
        <v>81.037210000000002</v>
      </c>
      <c r="W65" s="138">
        <v>93.06462821403754</v>
      </c>
      <c r="X65" s="138">
        <v>115.72327044025157</v>
      </c>
      <c r="Y65" s="138">
        <v>89.247910863509745</v>
      </c>
      <c r="Z65" s="138">
        <v>128.4768</v>
      </c>
      <c r="AA65" s="138">
        <v>69.82389779686261</v>
      </c>
      <c r="AB65" s="234">
        <v>166.69456066945605</v>
      </c>
      <c r="AC65" s="138">
        <v>80.010597883463603</v>
      </c>
      <c r="AD65" s="138">
        <v>62.616839652128661</v>
      </c>
      <c r="AE65" s="140"/>
      <c r="AF65" s="138">
        <v>103.99999999999999</v>
      </c>
      <c r="AG65" s="138">
        <v>87.240301029293789</v>
      </c>
      <c r="AH65" s="138">
        <v>76.461849999999998</v>
      </c>
      <c r="AI65" s="138">
        <v>76.461849999999998</v>
      </c>
    </row>
    <row r="66" spans="1:481" ht="22.5">
      <c r="A66" s="150">
        <v>3.3</v>
      </c>
      <c r="B66" s="153" t="s">
        <v>23</v>
      </c>
      <c r="C66" s="138">
        <v>49.170731707317074</v>
      </c>
      <c r="D66" s="138">
        <v>50.874479999999998</v>
      </c>
      <c r="E66" s="138">
        <v>49.170731707317074</v>
      </c>
      <c r="F66" s="138">
        <v>42.604264397601106</v>
      </c>
      <c r="G66" s="138">
        <v>45.798875241416063</v>
      </c>
      <c r="H66" s="138">
        <v>49.742942809048152</v>
      </c>
      <c r="I66" s="138">
        <v>44.925519999999999</v>
      </c>
      <c r="J66" s="152">
        <v>99.4259652474815</v>
      </c>
      <c r="K66" s="138">
        <v>50.235549999999996</v>
      </c>
      <c r="L66" s="138">
        <v>53</v>
      </c>
      <c r="M66" s="138" t="s">
        <v>248</v>
      </c>
      <c r="N66" s="138">
        <v>36.945264157432113</v>
      </c>
      <c r="O66" s="152">
        <v>67.039889463986938</v>
      </c>
      <c r="P66" s="67">
        <v>72.722408289287756</v>
      </c>
      <c r="Q66" s="138">
        <v>82.587064676616905</v>
      </c>
      <c r="R66" s="138">
        <v>36.477694280590377</v>
      </c>
      <c r="S66" s="152">
        <v>51.198110581334944</v>
      </c>
      <c r="T66" s="152">
        <v>59.929088592529297</v>
      </c>
      <c r="U66" s="138">
        <v>37</v>
      </c>
      <c r="V66" s="152">
        <v>49.263840000000002</v>
      </c>
      <c r="W66" s="138">
        <v>54.037526059763721</v>
      </c>
      <c r="X66" s="138">
        <v>58.364779874213951</v>
      </c>
      <c r="Y66" s="138">
        <v>41.114206128133702</v>
      </c>
      <c r="Z66" s="138">
        <v>48.312690000000003</v>
      </c>
      <c r="AA66" s="138">
        <v>3</v>
      </c>
      <c r="AB66" s="234"/>
      <c r="AC66" s="138">
        <v>50.45323324001901</v>
      </c>
      <c r="AD66" s="138">
        <v>48.733949729255826</v>
      </c>
      <c r="AE66" s="140"/>
      <c r="AF66" s="138">
        <v>51.999999999999993</v>
      </c>
      <c r="AG66" s="138">
        <v>81.127574095059899</v>
      </c>
      <c r="AH66" s="138">
        <v>69.836619999999996</v>
      </c>
      <c r="AI66" s="138">
        <v>69.836619999999996</v>
      </c>
    </row>
    <row r="67" spans="1:481" s="149" customFormat="1">
      <c r="A67" s="145">
        <v>4</v>
      </c>
      <c r="B67" s="146" t="s">
        <v>24</v>
      </c>
      <c r="C67" s="147">
        <v>297.03135888501743</v>
      </c>
      <c r="D67" s="147">
        <v>308.09049550117868</v>
      </c>
      <c r="E67" s="147">
        <v>394.36933797909404</v>
      </c>
      <c r="F67" s="147">
        <v>297.80487032964669</v>
      </c>
      <c r="G67" s="147">
        <v>339.54260568160714</v>
      </c>
      <c r="H67" s="147">
        <v>345.31406194829515</v>
      </c>
      <c r="I67" s="147">
        <v>358.73950300000001</v>
      </c>
      <c r="J67" s="148">
        <v>319.1308068430148</v>
      </c>
      <c r="K67" s="147">
        <v>346.2537733333333</v>
      </c>
      <c r="L67" s="147">
        <v>392.99999999999994</v>
      </c>
      <c r="M67" s="147">
        <v>303.21056289089648</v>
      </c>
      <c r="N67" s="147">
        <v>341.04241024439636</v>
      </c>
      <c r="O67" s="148">
        <v>366.0957532175384</v>
      </c>
      <c r="P67" s="148">
        <v>277.256449840389</v>
      </c>
      <c r="Q67" s="147">
        <v>314.42786069651743</v>
      </c>
      <c r="R67" s="147">
        <v>290.47875347106975</v>
      </c>
      <c r="S67" s="148">
        <v>193.03985443277114</v>
      </c>
      <c r="T67" s="148">
        <v>300.69302368164063</v>
      </c>
      <c r="U67" s="147">
        <v>306</v>
      </c>
      <c r="V67" s="148">
        <v>370.33888899999999</v>
      </c>
      <c r="W67" s="147">
        <v>301.20917303683115</v>
      </c>
      <c r="X67" s="147">
        <v>289.14046121593293</v>
      </c>
      <c r="Y67" s="147">
        <v>336.93593314763228</v>
      </c>
      <c r="Z67" s="147">
        <v>347.16925599999996</v>
      </c>
      <c r="AA67" s="147">
        <v>313.70280811758175</v>
      </c>
      <c r="AB67" s="147">
        <v>297.23849372384939</v>
      </c>
      <c r="AC67" s="147">
        <v>326.51573343354073</v>
      </c>
      <c r="AD67" s="147">
        <v>305.30761030384662</v>
      </c>
      <c r="AE67" s="221"/>
      <c r="AF67" s="147">
        <v>248</v>
      </c>
      <c r="AG67" s="147">
        <v>282.6432935175763</v>
      </c>
      <c r="AH67" s="147">
        <v>334.19431999999995</v>
      </c>
      <c r="AI67" s="185">
        <v>334.19431999999995</v>
      </c>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86"/>
      <c r="CD67" s="86"/>
      <c r="CE67" s="86"/>
      <c r="CF67" s="86"/>
      <c r="CG67" s="86"/>
      <c r="CH67" s="86"/>
      <c r="CI67" s="86"/>
      <c r="CJ67" s="86"/>
      <c r="CK67" s="86"/>
      <c r="CL67" s="86"/>
      <c r="CM67" s="86"/>
      <c r="CN67" s="86"/>
      <c r="CO67" s="86"/>
      <c r="CP67" s="86"/>
      <c r="CQ67" s="86"/>
      <c r="CR67" s="86"/>
      <c r="CS67" s="86"/>
      <c r="CT67" s="86"/>
      <c r="CU67" s="86"/>
      <c r="CV67" s="86"/>
      <c r="CW67" s="86"/>
      <c r="CX67" s="86"/>
      <c r="CY67" s="86"/>
      <c r="CZ67" s="86"/>
      <c r="DA67" s="86"/>
      <c r="DB67" s="86"/>
      <c r="DC67" s="86"/>
      <c r="DD67" s="86"/>
      <c r="DE67" s="86"/>
      <c r="DF67" s="86"/>
      <c r="DG67" s="86"/>
      <c r="DH67" s="86"/>
      <c r="DI67" s="86"/>
      <c r="DJ67" s="86"/>
      <c r="DK67" s="86"/>
      <c r="DL67" s="86"/>
      <c r="DM67" s="86"/>
      <c r="DN67" s="86"/>
      <c r="DO67" s="86"/>
      <c r="DP67" s="86"/>
      <c r="DQ67" s="86"/>
      <c r="DR67" s="86"/>
      <c r="DS67" s="86"/>
      <c r="DT67" s="86"/>
      <c r="DU67" s="86"/>
      <c r="DV67" s="86"/>
      <c r="DW67" s="86"/>
      <c r="DX67" s="86"/>
      <c r="DY67" s="86"/>
      <c r="DZ67" s="86"/>
      <c r="EA67" s="86"/>
      <c r="EB67" s="86"/>
      <c r="EC67" s="86"/>
      <c r="ED67" s="86"/>
      <c r="EE67" s="86"/>
      <c r="EF67" s="86"/>
      <c r="EG67" s="86"/>
      <c r="EH67" s="86"/>
      <c r="EI67" s="86"/>
      <c r="EJ67" s="86"/>
      <c r="EK67" s="86"/>
      <c r="EL67" s="86"/>
      <c r="EM67" s="86"/>
      <c r="EN67" s="86"/>
      <c r="EO67" s="86"/>
      <c r="EP67" s="86"/>
      <c r="EQ67" s="86"/>
      <c r="ER67" s="86"/>
      <c r="ES67" s="86"/>
      <c r="ET67" s="86"/>
      <c r="EU67" s="86"/>
      <c r="EV67" s="86"/>
      <c r="EW67" s="86"/>
      <c r="EX67" s="86"/>
      <c r="EY67" s="86"/>
      <c r="EZ67" s="86"/>
      <c r="FA67" s="86"/>
      <c r="FB67" s="86"/>
      <c r="FC67" s="86"/>
      <c r="FD67" s="86"/>
      <c r="FE67" s="86"/>
      <c r="FF67" s="86"/>
      <c r="FG67" s="86"/>
      <c r="FH67" s="86"/>
      <c r="FI67" s="86"/>
      <c r="FJ67" s="86"/>
      <c r="FK67" s="86"/>
      <c r="FL67" s="86"/>
      <c r="FM67" s="86"/>
      <c r="FN67" s="86"/>
      <c r="FO67" s="86"/>
      <c r="FP67" s="86"/>
      <c r="FQ67" s="86"/>
      <c r="FR67" s="86"/>
      <c r="FS67" s="86"/>
      <c r="FT67" s="86"/>
      <c r="FU67" s="86"/>
      <c r="FV67" s="86"/>
      <c r="FW67" s="86"/>
      <c r="FX67" s="86"/>
      <c r="FY67" s="86"/>
      <c r="FZ67" s="86"/>
      <c r="GA67" s="86"/>
      <c r="GB67" s="86"/>
      <c r="GC67" s="86"/>
      <c r="GD67" s="86"/>
      <c r="GE67" s="86"/>
      <c r="GF67" s="86"/>
      <c r="GG67" s="86"/>
      <c r="GH67" s="86"/>
      <c r="GI67" s="86"/>
      <c r="GJ67" s="86"/>
      <c r="GK67" s="86"/>
      <c r="GL67" s="86"/>
      <c r="GM67" s="86"/>
      <c r="GN67" s="86"/>
      <c r="GO67" s="86"/>
      <c r="GP67" s="86"/>
      <c r="GQ67" s="86"/>
      <c r="GR67" s="86"/>
      <c r="GS67" s="86"/>
      <c r="GT67" s="86"/>
      <c r="GU67" s="86"/>
      <c r="GV67" s="86"/>
      <c r="GW67" s="86"/>
      <c r="GX67" s="86"/>
      <c r="GY67" s="86"/>
      <c r="GZ67" s="86"/>
      <c r="HA67" s="86"/>
      <c r="HB67" s="86"/>
      <c r="HC67" s="86"/>
      <c r="HD67" s="86"/>
      <c r="HE67" s="86"/>
      <c r="HF67" s="86"/>
      <c r="HG67" s="86"/>
      <c r="HH67" s="86"/>
      <c r="HI67" s="86"/>
      <c r="HJ67" s="86"/>
      <c r="HK67" s="86"/>
      <c r="HL67" s="86"/>
      <c r="HM67" s="86"/>
      <c r="HN67" s="86"/>
      <c r="HO67" s="86"/>
      <c r="HP67" s="86"/>
      <c r="HQ67" s="86"/>
      <c r="HR67" s="86"/>
      <c r="HS67" s="86"/>
      <c r="HT67" s="86"/>
      <c r="HU67" s="86"/>
      <c r="HV67" s="86"/>
      <c r="HW67" s="86"/>
      <c r="HX67" s="86"/>
      <c r="HY67" s="86"/>
      <c r="HZ67" s="86"/>
      <c r="IA67" s="86"/>
      <c r="IB67" s="86"/>
      <c r="IC67" s="86"/>
      <c r="ID67" s="86"/>
      <c r="IE67" s="86"/>
      <c r="IF67" s="86"/>
      <c r="IG67" s="86"/>
      <c r="IH67" s="86"/>
      <c r="II67" s="86"/>
      <c r="IJ67" s="86"/>
      <c r="IK67" s="86"/>
      <c r="IL67" s="86"/>
      <c r="IM67" s="86"/>
      <c r="IN67" s="86"/>
      <c r="IO67" s="86"/>
      <c r="IP67" s="86"/>
      <c r="IQ67" s="86"/>
      <c r="IR67" s="86"/>
      <c r="IS67" s="86"/>
      <c r="IT67" s="86"/>
      <c r="IU67" s="86"/>
      <c r="IV67" s="86"/>
      <c r="IW67" s="86"/>
      <c r="IX67" s="86"/>
      <c r="IY67" s="86"/>
      <c r="IZ67" s="86"/>
      <c r="JA67" s="86"/>
      <c r="JB67" s="86"/>
      <c r="JC67" s="86"/>
      <c r="JD67" s="86"/>
      <c r="JE67" s="86"/>
      <c r="JF67" s="86"/>
      <c r="JG67" s="86"/>
      <c r="JH67" s="86"/>
      <c r="JI67" s="86"/>
      <c r="JJ67" s="86"/>
      <c r="JK67" s="86"/>
      <c r="JL67" s="86"/>
      <c r="JM67" s="86"/>
      <c r="JN67" s="86"/>
      <c r="JO67" s="86"/>
      <c r="JP67" s="86"/>
      <c r="JQ67" s="86"/>
      <c r="JR67" s="86"/>
      <c r="JS67" s="86"/>
      <c r="JT67" s="86"/>
      <c r="JU67" s="86"/>
      <c r="JV67" s="86"/>
      <c r="JW67" s="86"/>
      <c r="JX67" s="86"/>
      <c r="JY67" s="86"/>
      <c r="JZ67" s="86"/>
      <c r="KA67" s="86"/>
      <c r="KB67" s="86"/>
      <c r="KC67" s="86"/>
      <c r="KD67" s="86"/>
      <c r="KE67" s="86"/>
      <c r="KF67" s="86"/>
      <c r="KG67" s="86"/>
      <c r="KH67" s="86"/>
      <c r="KI67" s="86"/>
      <c r="KJ67" s="86"/>
      <c r="KK67" s="86"/>
      <c r="KL67" s="86"/>
      <c r="KM67" s="86"/>
      <c r="KN67" s="86"/>
      <c r="KO67" s="86"/>
      <c r="KP67" s="86"/>
      <c r="KQ67" s="86"/>
      <c r="KR67" s="86"/>
      <c r="KS67" s="86"/>
      <c r="KT67" s="86"/>
      <c r="KU67" s="86"/>
      <c r="KV67" s="86"/>
      <c r="KW67" s="86"/>
      <c r="KX67" s="86"/>
      <c r="KY67" s="86"/>
      <c r="KZ67" s="86"/>
      <c r="LA67" s="86"/>
      <c r="LB67" s="86"/>
      <c r="LC67" s="86"/>
      <c r="LD67" s="86"/>
      <c r="LE67" s="86"/>
      <c r="LF67" s="86"/>
      <c r="LG67" s="86"/>
      <c r="LH67" s="86"/>
      <c r="LI67" s="86"/>
      <c r="LJ67" s="86"/>
      <c r="LK67" s="86"/>
      <c r="LL67" s="86"/>
      <c r="LM67" s="86"/>
      <c r="LN67" s="86"/>
      <c r="LO67" s="86"/>
      <c r="LP67" s="86"/>
      <c r="LQ67" s="86"/>
      <c r="LR67" s="86"/>
      <c r="LS67" s="86"/>
      <c r="LT67" s="86"/>
      <c r="LU67" s="86"/>
      <c r="LV67" s="86"/>
      <c r="LW67" s="86"/>
      <c r="LX67" s="86"/>
      <c r="LY67" s="86"/>
      <c r="LZ67" s="86"/>
      <c r="MA67" s="86"/>
      <c r="MB67" s="86"/>
      <c r="MC67" s="86"/>
      <c r="MD67" s="86"/>
      <c r="ME67" s="86"/>
      <c r="MF67" s="86"/>
      <c r="MG67" s="86"/>
      <c r="MH67" s="86"/>
      <c r="MI67" s="86"/>
      <c r="MJ67" s="86"/>
      <c r="MK67" s="86"/>
      <c r="ML67" s="86"/>
      <c r="MM67" s="86"/>
      <c r="MN67" s="86"/>
      <c r="MO67" s="86"/>
      <c r="MP67" s="86"/>
      <c r="MQ67" s="86"/>
      <c r="MR67" s="86"/>
      <c r="MS67" s="86"/>
      <c r="MT67" s="86"/>
      <c r="MU67" s="86"/>
      <c r="MV67" s="86"/>
      <c r="MW67" s="86"/>
      <c r="MX67" s="86"/>
      <c r="MY67" s="86"/>
      <c r="MZ67" s="86"/>
      <c r="NA67" s="86"/>
      <c r="NB67" s="86"/>
      <c r="NC67" s="86"/>
      <c r="ND67" s="86"/>
      <c r="NE67" s="86"/>
      <c r="NF67" s="86"/>
      <c r="NG67" s="86"/>
      <c r="NH67" s="86"/>
      <c r="NI67" s="86"/>
      <c r="NJ67" s="86"/>
      <c r="NK67" s="86"/>
      <c r="NL67" s="86"/>
      <c r="NM67" s="86"/>
      <c r="NN67" s="86"/>
      <c r="NO67" s="86"/>
      <c r="NP67" s="86"/>
      <c r="NQ67" s="86"/>
      <c r="NR67" s="86"/>
      <c r="NS67" s="86"/>
      <c r="NT67" s="86"/>
      <c r="NU67" s="86"/>
      <c r="NV67" s="86"/>
      <c r="NW67" s="86"/>
      <c r="NX67" s="86"/>
      <c r="NY67" s="86"/>
      <c r="NZ67" s="86"/>
      <c r="OA67" s="86"/>
      <c r="OB67" s="86"/>
      <c r="OC67" s="86"/>
      <c r="OD67" s="86"/>
      <c r="OE67" s="86"/>
      <c r="OF67" s="86"/>
      <c r="OG67" s="86"/>
      <c r="OH67" s="86"/>
      <c r="OI67" s="86"/>
      <c r="OJ67" s="86"/>
      <c r="OK67" s="86"/>
      <c r="OL67" s="86"/>
      <c r="OM67" s="86"/>
      <c r="ON67" s="86"/>
      <c r="OO67" s="86"/>
      <c r="OP67" s="86"/>
      <c r="OQ67" s="86"/>
      <c r="OR67" s="86"/>
      <c r="OS67" s="86"/>
      <c r="OT67" s="86"/>
      <c r="OU67" s="86"/>
      <c r="OV67" s="86"/>
      <c r="OW67" s="86"/>
      <c r="OX67" s="86"/>
      <c r="OY67" s="86"/>
      <c r="OZ67" s="86"/>
      <c r="PA67" s="86"/>
      <c r="PB67" s="86"/>
      <c r="PC67" s="86"/>
      <c r="PD67" s="86"/>
      <c r="PE67" s="86"/>
      <c r="PF67" s="86"/>
      <c r="PG67" s="86"/>
      <c r="PH67" s="86"/>
      <c r="PI67" s="86"/>
      <c r="PJ67" s="86"/>
      <c r="PK67" s="86"/>
      <c r="PL67" s="86"/>
      <c r="PM67" s="86"/>
      <c r="PN67" s="86"/>
      <c r="PO67" s="86"/>
      <c r="PP67" s="86"/>
      <c r="PQ67" s="86"/>
      <c r="PR67" s="86"/>
      <c r="PS67" s="86"/>
      <c r="PT67" s="86"/>
      <c r="PU67" s="86"/>
      <c r="PV67" s="86"/>
      <c r="PW67" s="86"/>
      <c r="PX67" s="86"/>
      <c r="PY67" s="86"/>
      <c r="PZ67" s="86"/>
      <c r="QA67" s="86"/>
      <c r="QB67" s="86"/>
      <c r="QC67" s="86"/>
      <c r="QD67" s="86"/>
      <c r="QE67" s="86"/>
      <c r="QF67" s="86"/>
      <c r="QG67" s="86"/>
      <c r="QH67" s="86"/>
      <c r="QI67" s="86"/>
      <c r="QJ67" s="86"/>
      <c r="QK67" s="86"/>
      <c r="QL67" s="86"/>
      <c r="QM67" s="86"/>
      <c r="QN67" s="86"/>
      <c r="QO67" s="86"/>
      <c r="QP67" s="86"/>
      <c r="QQ67" s="86"/>
      <c r="QR67" s="86"/>
      <c r="QS67" s="86"/>
      <c r="QT67" s="86"/>
      <c r="QU67" s="86"/>
      <c r="QV67" s="86"/>
      <c r="QW67" s="86"/>
      <c r="QX67" s="86"/>
      <c r="QY67" s="86"/>
      <c r="QZ67" s="86"/>
      <c r="RA67" s="86"/>
      <c r="RB67" s="86"/>
      <c r="RC67" s="86"/>
      <c r="RD67" s="86"/>
      <c r="RE67" s="86"/>
      <c r="RF67" s="86"/>
      <c r="RG67" s="86"/>
      <c r="RH67" s="86"/>
      <c r="RI67" s="86"/>
      <c r="RJ67" s="86"/>
      <c r="RK67" s="86"/>
      <c r="RL67" s="86"/>
      <c r="RM67" s="86"/>
    </row>
    <row r="68" spans="1:481">
      <c r="A68" s="150">
        <v>4.0999999999999996</v>
      </c>
      <c r="B68" s="155" t="s">
        <v>25</v>
      </c>
      <c r="C68" s="138">
        <v>23.080139372822302</v>
      </c>
      <c r="D68" s="138">
        <v>34.162019999999998</v>
      </c>
      <c r="E68" s="138">
        <v>15.05226480836237</v>
      </c>
      <c r="F68" s="138">
        <v>25.430748211874729</v>
      </c>
      <c r="G68" s="138">
        <v>24.658908166266038</v>
      </c>
      <c r="H68" s="138">
        <v>32.29565398996732</v>
      </c>
      <c r="I68" s="138">
        <v>39.133609999999997</v>
      </c>
      <c r="J68" s="152">
        <v>17.059130900343018</v>
      </c>
      <c r="K68" s="138">
        <v>28.314966666666667</v>
      </c>
      <c r="L68" s="138">
        <v>33</v>
      </c>
      <c r="M68" s="138">
        <v>24.016678248783876</v>
      </c>
      <c r="N68" s="138">
        <v>22.984634205906524</v>
      </c>
      <c r="O68" s="152">
        <v>43.762454194295678</v>
      </c>
      <c r="P68" s="67">
        <v>13.104060913705585</v>
      </c>
      <c r="Q68" s="138">
        <v>30.845771144278608</v>
      </c>
      <c r="R68" s="138">
        <v>30.415045634968422</v>
      </c>
      <c r="S68" s="152">
        <v>18.568012924860938</v>
      </c>
      <c r="T68" s="152">
        <v>21.659580230712891</v>
      </c>
      <c r="U68" s="138">
        <v>19</v>
      </c>
      <c r="V68" s="152">
        <v>20.982700000000001</v>
      </c>
      <c r="W68" s="138">
        <v>27.01876302988186</v>
      </c>
      <c r="X68" s="138">
        <v>20.125786163522012</v>
      </c>
      <c r="Y68" s="138">
        <v>35.097493036211702</v>
      </c>
      <c r="Z68" s="138">
        <v>46.700629999999997</v>
      </c>
      <c r="AA68" s="167">
        <v>18.37853104325082</v>
      </c>
      <c r="AB68" s="138">
        <v>13.917958294493246</v>
      </c>
      <c r="AC68" s="138">
        <v>23.243505211516599</v>
      </c>
      <c r="AD68" s="138">
        <v>24.436229864243163</v>
      </c>
      <c r="AE68" s="140"/>
      <c r="AF68" s="138">
        <v>24</v>
      </c>
      <c r="AG68" s="138">
        <v>9.066890462892502</v>
      </c>
      <c r="AH68" s="138">
        <v>9.1469989999999992</v>
      </c>
      <c r="AI68" s="138">
        <v>9.1469989999999992</v>
      </c>
    </row>
    <row r="69" spans="1:481">
      <c r="A69" s="150">
        <v>4.2</v>
      </c>
      <c r="B69" s="153" t="s">
        <v>26</v>
      </c>
      <c r="C69" s="138">
        <v>5.0174216027874561</v>
      </c>
      <c r="D69" s="138">
        <v>9.7094868853741136</v>
      </c>
      <c r="E69" s="138">
        <v>7.024390243902439</v>
      </c>
      <c r="F69" s="138">
        <v>5.5063723146077503</v>
      </c>
      <c r="G69" s="138">
        <v>6.9890701139994915</v>
      </c>
      <c r="H69" s="138">
        <v>7.4051936379027934</v>
      </c>
      <c r="I69" s="138">
        <v>7.0421930000000001</v>
      </c>
      <c r="J69" s="152">
        <v>15.929550840726295</v>
      </c>
      <c r="K69" s="138">
        <v>13.070506666666667</v>
      </c>
      <c r="L69" s="138">
        <v>4</v>
      </c>
      <c r="M69" s="138">
        <v>5.0034746351633075</v>
      </c>
      <c r="N69" s="138">
        <v>49.771338398611427</v>
      </c>
      <c r="O69" s="152">
        <v>6.508992889505941</v>
      </c>
      <c r="P69" s="67" t="s">
        <v>248</v>
      </c>
      <c r="Q69" s="138">
        <v>1.9900497512437811</v>
      </c>
      <c r="R69" s="138">
        <v>5.5905737677995457</v>
      </c>
      <c r="S69" s="152">
        <v>8.6387700501747293</v>
      </c>
      <c r="T69" s="152">
        <v>29.488945007324219</v>
      </c>
      <c r="U69" s="138">
        <v>6</v>
      </c>
      <c r="V69" s="152">
        <v>7.6020289999999999</v>
      </c>
      <c r="W69" s="138">
        <v>2.001389854065323</v>
      </c>
      <c r="X69" s="138">
        <v>12.578616352201259</v>
      </c>
      <c r="Y69" s="138">
        <v>5.0139275766016711</v>
      </c>
      <c r="Z69" s="138">
        <v>9.9956160000000001</v>
      </c>
      <c r="AA69" s="167">
        <v>5.5615437774603658</v>
      </c>
      <c r="AB69" s="138">
        <v>2.7772645405789582</v>
      </c>
      <c r="AC69" s="138">
        <v>6.3596589195560727</v>
      </c>
      <c r="AD69" s="138">
        <v>6.3436719647573776</v>
      </c>
      <c r="AE69" s="140"/>
      <c r="AF69" s="138">
        <v>3</v>
      </c>
      <c r="AG69" s="138">
        <v>5.6889994377987492</v>
      </c>
      <c r="AH69" s="138">
        <v>5.7201009999999997</v>
      </c>
      <c r="AI69" s="138">
        <v>5.7201009999999997</v>
      </c>
    </row>
    <row r="70" spans="1:481">
      <c r="A70" s="150">
        <v>4.3</v>
      </c>
      <c r="B70" s="151" t="s">
        <v>27</v>
      </c>
      <c r="C70" s="138">
        <v>10.034843205574912</v>
      </c>
      <c r="D70" s="138">
        <v>80.886120000000005</v>
      </c>
      <c r="E70" s="138">
        <v>77.268292682926827</v>
      </c>
      <c r="F70" s="138">
        <v>52.959161971816194</v>
      </c>
      <c r="G70" s="138">
        <v>74.247125468092804</v>
      </c>
      <c r="H70" s="138">
        <v>35.655395959583871</v>
      </c>
      <c r="I70" s="138">
        <v>49.670999999999999</v>
      </c>
      <c r="J70" s="152">
        <v>52.128912751248166</v>
      </c>
      <c r="K70" s="138">
        <v>58.12133333333334</v>
      </c>
      <c r="L70" s="138">
        <v>60</v>
      </c>
      <c r="M70" s="138">
        <v>59.041000694927035</v>
      </c>
      <c r="N70" s="138">
        <v>41.983224139939196</v>
      </c>
      <c r="O70" s="152">
        <v>72.980754111760973</v>
      </c>
      <c r="P70" s="67">
        <v>15.805588989481397</v>
      </c>
      <c r="Q70" s="138">
        <v>42.786069651741293</v>
      </c>
      <c r="R70" s="138">
        <v>35.193452413537244</v>
      </c>
      <c r="S70" s="152">
        <v>41.490020223359231</v>
      </c>
      <c r="T70" s="152">
        <v>78.061111450195313</v>
      </c>
      <c r="U70" s="138">
        <v>59</v>
      </c>
      <c r="V70" s="152">
        <v>46.762059999999998</v>
      </c>
      <c r="W70" s="138">
        <v>44.030576789437106</v>
      </c>
      <c r="X70" s="138">
        <v>52.830188679245282</v>
      </c>
      <c r="Y70" s="138">
        <v>63.175487465181057</v>
      </c>
      <c r="Z70" s="138">
        <v>52.94614</v>
      </c>
      <c r="AA70" s="167">
        <v>27.478876800346679</v>
      </c>
      <c r="AB70" s="138">
        <v>67.563557859194688</v>
      </c>
      <c r="AC70" s="138">
        <v>42.141083649873913</v>
      </c>
      <c r="AD70" s="138">
        <v>39.638759779784664</v>
      </c>
      <c r="AE70" s="140"/>
      <c r="AF70" s="138">
        <v>22</v>
      </c>
      <c r="AG70" s="138">
        <v>81.467417593771117</v>
      </c>
      <c r="AH70" s="138">
        <v>91.634349999999998</v>
      </c>
      <c r="AI70" s="138">
        <v>91.634349999999998</v>
      </c>
    </row>
    <row r="71" spans="1:481">
      <c r="A71" s="150">
        <v>4.4000000000000004</v>
      </c>
      <c r="B71" s="151" t="s">
        <v>28</v>
      </c>
      <c r="C71" s="138">
        <v>158.55052264808361</v>
      </c>
      <c r="D71" s="138">
        <v>117.24949861580454</v>
      </c>
      <c r="E71" s="138">
        <v>152.52961672473867</v>
      </c>
      <c r="F71" s="138">
        <v>118.36989768909619</v>
      </c>
      <c r="G71" s="138">
        <v>132.49938940772188</v>
      </c>
      <c r="H71" s="138">
        <v>140.40053817993416</v>
      </c>
      <c r="I71" s="138">
        <v>135.69409999999999</v>
      </c>
      <c r="J71" s="152">
        <v>124.89560659171256</v>
      </c>
      <c r="K71" s="138">
        <v>125.7589</v>
      </c>
      <c r="L71" s="138">
        <v>169</v>
      </c>
      <c r="M71" s="138">
        <v>174.12091730368311</v>
      </c>
      <c r="N71" s="138">
        <v>95.4702568113632</v>
      </c>
      <c r="O71" s="152">
        <v>117.26816996327264</v>
      </c>
      <c r="P71" s="67">
        <v>96.707938667643518</v>
      </c>
      <c r="Q71" s="138">
        <v>125.37313432835819</v>
      </c>
      <c r="R71" s="138">
        <v>138.92334820558554</v>
      </c>
      <c r="S71" s="152">
        <v>74.252255657412903</v>
      </c>
      <c r="T71" s="152">
        <v>91.717109680175781</v>
      </c>
      <c r="U71" s="138">
        <v>132</v>
      </c>
      <c r="V71" s="152">
        <v>140.13659999999999</v>
      </c>
      <c r="W71" s="138">
        <v>147.10215427380126</v>
      </c>
      <c r="X71" s="138">
        <v>126.2893081761006</v>
      </c>
      <c r="Y71" s="138">
        <v>133.37047353760445</v>
      </c>
      <c r="Z71" s="138">
        <v>140.40969999999999</v>
      </c>
      <c r="AA71" s="167">
        <v>124.07765312550362</v>
      </c>
      <c r="AB71" s="138">
        <v>134.70718066526902</v>
      </c>
      <c r="AC71" s="138">
        <v>144.86852967067824</v>
      </c>
      <c r="AD71" s="138">
        <v>156.7149991293611</v>
      </c>
      <c r="AE71" s="140"/>
      <c r="AF71" s="138">
        <v>132</v>
      </c>
      <c r="AG71" s="138">
        <v>67.530462006290406</v>
      </c>
      <c r="AH71" s="138">
        <v>139.1422</v>
      </c>
      <c r="AI71" s="138">
        <v>139.1422</v>
      </c>
    </row>
    <row r="72" spans="1:481">
      <c r="A72" s="150">
        <v>4.5</v>
      </c>
      <c r="B72" s="151" t="s">
        <v>29</v>
      </c>
      <c r="C72" s="138">
        <v>100.34843205574913</v>
      </c>
      <c r="D72" s="138">
        <v>66.083370000000002</v>
      </c>
      <c r="E72" s="138">
        <v>142.49477351916374</v>
      </c>
      <c r="F72" s="138">
        <v>95.53869014225188</v>
      </c>
      <c r="G72" s="138">
        <v>101.14811252552695</v>
      </c>
      <c r="H72" s="138">
        <v>129.55728018090699</v>
      </c>
      <c r="I72" s="138">
        <v>127.1986</v>
      </c>
      <c r="J72" s="152">
        <v>109.11760575898475</v>
      </c>
      <c r="K72" s="138">
        <v>120.98806666666665</v>
      </c>
      <c r="L72" s="138">
        <v>127.00000000000001</v>
      </c>
      <c r="M72" s="138">
        <v>41.028492008339121</v>
      </c>
      <c r="N72" s="138">
        <v>130.83295668857602</v>
      </c>
      <c r="O72" s="152">
        <v>125.5753820587032</v>
      </c>
      <c r="P72" s="67">
        <v>151.63886126955884</v>
      </c>
      <c r="Q72" s="138">
        <v>113.43283582089552</v>
      </c>
      <c r="R72" s="138">
        <v>80.356333449179033</v>
      </c>
      <c r="S72" s="152">
        <v>50.090795576963338</v>
      </c>
      <c r="T72" s="152">
        <v>79.766288757324219</v>
      </c>
      <c r="U72" s="138">
        <v>90</v>
      </c>
      <c r="V72" s="152">
        <v>154.85550000000001</v>
      </c>
      <c r="W72" s="138">
        <v>81.056289089645588</v>
      </c>
      <c r="X72" s="138">
        <v>77.316561844863756</v>
      </c>
      <c r="Y72" s="138">
        <v>100.27855153203343</v>
      </c>
      <c r="Z72" s="138">
        <v>97.117170000000002</v>
      </c>
      <c r="AA72" s="167">
        <v>138.20620337102031</v>
      </c>
      <c r="AB72" s="138">
        <v>78.272532364313435</v>
      </c>
      <c r="AC72" s="138">
        <v>109.90295598191585</v>
      </c>
      <c r="AD72" s="138">
        <v>78.173949565700283</v>
      </c>
      <c r="AE72" s="140"/>
      <c r="AF72" s="138">
        <v>67</v>
      </c>
      <c r="AG72" s="138">
        <v>118.88952401682354</v>
      </c>
      <c r="AH72" s="138">
        <v>88.550669999999997</v>
      </c>
      <c r="AI72" s="138">
        <v>88.550669999999997</v>
      </c>
    </row>
    <row r="73" spans="1:481" s="149" customFormat="1">
      <c r="A73" s="145">
        <v>5</v>
      </c>
      <c r="B73" s="146" t="s">
        <v>30</v>
      </c>
      <c r="C73" s="147">
        <v>18.062717770034844</v>
      </c>
      <c r="D73" s="147">
        <v>8.0014729403491138</v>
      </c>
      <c r="E73" s="147">
        <v>5.0174216027874561</v>
      </c>
      <c r="F73" s="147">
        <v>31.768059542609123</v>
      </c>
      <c r="G73" s="147">
        <v>11.214057622171694</v>
      </c>
      <c r="H73" s="147">
        <v>6.4666836742621836</v>
      </c>
      <c r="I73" s="147">
        <v>45.119599999999998</v>
      </c>
      <c r="J73" s="148">
        <v>7.8422754138978696</v>
      </c>
      <c r="K73" s="147">
        <v>16.204740000000001</v>
      </c>
      <c r="L73" s="147">
        <v>5</v>
      </c>
      <c r="M73" s="147">
        <v>1.0006949270326615</v>
      </c>
      <c r="N73" s="147">
        <v>23.386024918798523</v>
      </c>
      <c r="O73" s="148">
        <v>12.062818088763349</v>
      </c>
      <c r="P73" s="148">
        <v>42.076089800617503</v>
      </c>
      <c r="Q73" s="147">
        <v>7.9601990049751246</v>
      </c>
      <c r="R73" s="147">
        <v>3.2603797382429387</v>
      </c>
      <c r="S73" s="148">
        <v>19.58061312910807</v>
      </c>
      <c r="T73" s="148">
        <v>33.472702026367188</v>
      </c>
      <c r="U73" s="147">
        <v>16</v>
      </c>
      <c r="V73" s="148">
        <v>9.2430579999999996</v>
      </c>
      <c r="W73" s="147">
        <v>46.031966643502429</v>
      </c>
      <c r="X73" s="147">
        <v>5.0314465408805029</v>
      </c>
      <c r="Y73" s="147">
        <v>5.0139275766016711</v>
      </c>
      <c r="Z73" s="147">
        <v>13.661777000000001</v>
      </c>
      <c r="AA73" s="168">
        <v>77.202511064575276</v>
      </c>
      <c r="AB73" s="147">
        <v>80.3347280334728</v>
      </c>
      <c r="AC73" s="147">
        <v>29.869604487012744</v>
      </c>
      <c r="AD73" s="147">
        <v>19.657029890794274</v>
      </c>
      <c r="AE73" s="221"/>
      <c r="AF73" s="147">
        <v>15</v>
      </c>
      <c r="AG73" s="147">
        <v>12.246449456421935</v>
      </c>
      <c r="AH73" s="147">
        <v>13.1774</v>
      </c>
      <c r="AI73" s="185">
        <v>13.1774</v>
      </c>
      <c r="AJ73" s="86"/>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86"/>
      <c r="CD73" s="86"/>
      <c r="CE73" s="86"/>
      <c r="CF73" s="86"/>
      <c r="CG73" s="86"/>
      <c r="CH73" s="86"/>
      <c r="CI73" s="86"/>
      <c r="CJ73" s="86"/>
      <c r="CK73" s="86"/>
      <c r="CL73" s="86"/>
      <c r="CM73" s="86"/>
      <c r="CN73" s="86"/>
      <c r="CO73" s="86"/>
      <c r="CP73" s="86"/>
      <c r="CQ73" s="86"/>
      <c r="CR73" s="86"/>
      <c r="CS73" s="86"/>
      <c r="CT73" s="86"/>
      <c r="CU73" s="86"/>
      <c r="CV73" s="86"/>
      <c r="CW73" s="86"/>
      <c r="CX73" s="86"/>
      <c r="CY73" s="86"/>
      <c r="CZ73" s="86"/>
      <c r="DA73" s="86"/>
      <c r="DB73" s="86"/>
      <c r="DC73" s="86"/>
      <c r="DD73" s="86"/>
      <c r="DE73" s="86"/>
      <c r="DF73" s="86"/>
      <c r="DG73" s="86"/>
      <c r="DH73" s="86"/>
      <c r="DI73" s="86"/>
      <c r="DJ73" s="86"/>
      <c r="DK73" s="86"/>
      <c r="DL73" s="86"/>
      <c r="DM73" s="86"/>
      <c r="DN73" s="86"/>
      <c r="DO73" s="86"/>
      <c r="DP73" s="86"/>
      <c r="DQ73" s="86"/>
      <c r="DR73" s="86"/>
      <c r="DS73" s="86"/>
      <c r="DT73" s="86"/>
      <c r="DU73" s="86"/>
      <c r="DV73" s="86"/>
      <c r="DW73" s="86"/>
      <c r="DX73" s="86"/>
      <c r="DY73" s="86"/>
      <c r="DZ73" s="86"/>
      <c r="EA73" s="86"/>
      <c r="EB73" s="86"/>
      <c r="EC73" s="86"/>
      <c r="ED73" s="86"/>
      <c r="EE73" s="86"/>
      <c r="EF73" s="86"/>
      <c r="EG73" s="86"/>
      <c r="EH73" s="86"/>
      <c r="EI73" s="86"/>
      <c r="EJ73" s="86"/>
      <c r="EK73" s="86"/>
      <c r="EL73" s="86"/>
      <c r="EM73" s="86"/>
      <c r="EN73" s="86"/>
      <c r="EO73" s="86"/>
      <c r="EP73" s="86"/>
      <c r="EQ73" s="86"/>
      <c r="ER73" s="86"/>
      <c r="ES73" s="86"/>
      <c r="ET73" s="86"/>
      <c r="EU73" s="86"/>
      <c r="EV73" s="86"/>
      <c r="EW73" s="86"/>
      <c r="EX73" s="86"/>
      <c r="EY73" s="86"/>
      <c r="EZ73" s="86"/>
      <c r="FA73" s="86"/>
      <c r="FB73" s="86"/>
      <c r="FC73" s="86"/>
      <c r="FD73" s="86"/>
      <c r="FE73" s="86"/>
      <c r="FF73" s="86"/>
      <c r="FG73" s="86"/>
      <c r="FH73" s="86"/>
      <c r="FI73" s="86"/>
      <c r="FJ73" s="86"/>
      <c r="FK73" s="86"/>
      <c r="FL73" s="86"/>
      <c r="FM73" s="86"/>
      <c r="FN73" s="86"/>
      <c r="FO73" s="86"/>
      <c r="FP73" s="86"/>
      <c r="FQ73" s="86"/>
      <c r="FR73" s="86"/>
      <c r="FS73" s="86"/>
      <c r="FT73" s="86"/>
      <c r="FU73" s="86"/>
      <c r="FV73" s="86"/>
      <c r="FW73" s="86"/>
      <c r="FX73" s="86"/>
      <c r="FY73" s="86"/>
      <c r="FZ73" s="86"/>
      <c r="GA73" s="86"/>
      <c r="GB73" s="86"/>
      <c r="GC73" s="86"/>
      <c r="GD73" s="86"/>
      <c r="GE73" s="86"/>
      <c r="GF73" s="86"/>
      <c r="GG73" s="86"/>
      <c r="GH73" s="86"/>
      <c r="GI73" s="86"/>
      <c r="GJ73" s="86"/>
      <c r="GK73" s="86"/>
      <c r="GL73" s="86"/>
      <c r="GM73" s="86"/>
      <c r="GN73" s="86"/>
      <c r="GO73" s="86"/>
      <c r="GP73" s="86"/>
      <c r="GQ73" s="86"/>
      <c r="GR73" s="86"/>
      <c r="GS73" s="86"/>
      <c r="GT73" s="86"/>
      <c r="GU73" s="86"/>
      <c r="GV73" s="86"/>
      <c r="GW73" s="86"/>
      <c r="GX73" s="86"/>
      <c r="GY73" s="86"/>
      <c r="GZ73" s="86"/>
      <c r="HA73" s="86"/>
      <c r="HB73" s="86"/>
      <c r="HC73" s="86"/>
      <c r="HD73" s="86"/>
      <c r="HE73" s="86"/>
      <c r="HF73" s="86"/>
      <c r="HG73" s="86"/>
      <c r="HH73" s="86"/>
      <c r="HI73" s="86"/>
      <c r="HJ73" s="86"/>
      <c r="HK73" s="86"/>
      <c r="HL73" s="86"/>
      <c r="HM73" s="86"/>
      <c r="HN73" s="86"/>
      <c r="HO73" s="86"/>
      <c r="HP73" s="86"/>
      <c r="HQ73" s="86"/>
      <c r="HR73" s="86"/>
      <c r="HS73" s="86"/>
      <c r="HT73" s="86"/>
      <c r="HU73" s="86"/>
      <c r="HV73" s="86"/>
      <c r="HW73" s="86"/>
      <c r="HX73" s="86"/>
      <c r="HY73" s="86"/>
      <c r="HZ73" s="86"/>
      <c r="IA73" s="86"/>
      <c r="IB73" s="86"/>
      <c r="IC73" s="86"/>
      <c r="ID73" s="86"/>
      <c r="IE73" s="86"/>
      <c r="IF73" s="86"/>
      <c r="IG73" s="86"/>
      <c r="IH73" s="86"/>
      <c r="II73" s="86"/>
      <c r="IJ73" s="86"/>
      <c r="IK73" s="86"/>
      <c r="IL73" s="86"/>
      <c r="IM73" s="86"/>
      <c r="IN73" s="86"/>
      <c r="IO73" s="86"/>
      <c r="IP73" s="86"/>
      <c r="IQ73" s="86"/>
      <c r="IR73" s="86"/>
      <c r="IS73" s="86"/>
      <c r="IT73" s="86"/>
      <c r="IU73" s="86"/>
      <c r="IV73" s="86"/>
      <c r="IW73" s="86"/>
      <c r="IX73" s="86"/>
      <c r="IY73" s="86"/>
      <c r="IZ73" s="86"/>
      <c r="JA73" s="86"/>
      <c r="JB73" s="86"/>
      <c r="JC73" s="86"/>
      <c r="JD73" s="86"/>
      <c r="JE73" s="86"/>
      <c r="JF73" s="86"/>
      <c r="JG73" s="86"/>
      <c r="JH73" s="86"/>
      <c r="JI73" s="86"/>
      <c r="JJ73" s="86"/>
      <c r="JK73" s="86"/>
      <c r="JL73" s="86"/>
      <c r="JM73" s="86"/>
      <c r="JN73" s="86"/>
      <c r="JO73" s="86"/>
      <c r="JP73" s="86"/>
      <c r="JQ73" s="86"/>
      <c r="JR73" s="86"/>
      <c r="JS73" s="86"/>
      <c r="JT73" s="86"/>
      <c r="JU73" s="86"/>
      <c r="JV73" s="86"/>
      <c r="JW73" s="86"/>
      <c r="JX73" s="86"/>
      <c r="JY73" s="86"/>
      <c r="JZ73" s="86"/>
      <c r="KA73" s="86"/>
      <c r="KB73" s="86"/>
      <c r="KC73" s="86"/>
      <c r="KD73" s="86"/>
      <c r="KE73" s="86"/>
      <c r="KF73" s="86"/>
      <c r="KG73" s="86"/>
      <c r="KH73" s="86"/>
      <c r="KI73" s="86"/>
      <c r="KJ73" s="86"/>
      <c r="KK73" s="86"/>
      <c r="KL73" s="86"/>
      <c r="KM73" s="86"/>
      <c r="KN73" s="86"/>
      <c r="KO73" s="86"/>
      <c r="KP73" s="86"/>
      <c r="KQ73" s="86"/>
      <c r="KR73" s="86"/>
      <c r="KS73" s="86"/>
      <c r="KT73" s="86"/>
      <c r="KU73" s="86"/>
      <c r="KV73" s="86"/>
      <c r="KW73" s="86"/>
      <c r="KX73" s="86"/>
      <c r="KY73" s="86"/>
      <c r="KZ73" s="86"/>
      <c r="LA73" s="86"/>
      <c r="LB73" s="86"/>
      <c r="LC73" s="86"/>
      <c r="LD73" s="86"/>
      <c r="LE73" s="86"/>
      <c r="LF73" s="86"/>
      <c r="LG73" s="86"/>
      <c r="LH73" s="86"/>
      <c r="LI73" s="86"/>
      <c r="LJ73" s="86"/>
      <c r="LK73" s="86"/>
      <c r="LL73" s="86"/>
      <c r="LM73" s="86"/>
      <c r="LN73" s="86"/>
      <c r="LO73" s="86"/>
      <c r="LP73" s="86"/>
      <c r="LQ73" s="86"/>
      <c r="LR73" s="86"/>
      <c r="LS73" s="86"/>
      <c r="LT73" s="86"/>
      <c r="LU73" s="86"/>
      <c r="LV73" s="86"/>
      <c r="LW73" s="86"/>
      <c r="LX73" s="86"/>
      <c r="LY73" s="86"/>
      <c r="LZ73" s="86"/>
      <c r="MA73" s="86"/>
      <c r="MB73" s="86"/>
      <c r="MC73" s="86"/>
      <c r="MD73" s="86"/>
      <c r="ME73" s="86"/>
      <c r="MF73" s="86"/>
      <c r="MG73" s="86"/>
      <c r="MH73" s="86"/>
      <c r="MI73" s="86"/>
      <c r="MJ73" s="86"/>
      <c r="MK73" s="86"/>
      <c r="ML73" s="86"/>
      <c r="MM73" s="86"/>
      <c r="MN73" s="86"/>
      <c r="MO73" s="86"/>
      <c r="MP73" s="86"/>
      <c r="MQ73" s="86"/>
      <c r="MR73" s="86"/>
      <c r="MS73" s="86"/>
      <c r="MT73" s="86"/>
      <c r="MU73" s="86"/>
      <c r="MV73" s="86"/>
      <c r="MW73" s="86"/>
      <c r="MX73" s="86"/>
      <c r="MY73" s="86"/>
      <c r="MZ73" s="86"/>
      <c r="NA73" s="86"/>
      <c r="NB73" s="86"/>
      <c r="NC73" s="86"/>
      <c r="ND73" s="86"/>
      <c r="NE73" s="86"/>
      <c r="NF73" s="86"/>
      <c r="NG73" s="86"/>
      <c r="NH73" s="86"/>
      <c r="NI73" s="86"/>
      <c r="NJ73" s="86"/>
      <c r="NK73" s="86"/>
      <c r="NL73" s="86"/>
      <c r="NM73" s="86"/>
      <c r="NN73" s="86"/>
      <c r="NO73" s="86"/>
      <c r="NP73" s="86"/>
      <c r="NQ73" s="86"/>
      <c r="NR73" s="86"/>
      <c r="NS73" s="86"/>
      <c r="NT73" s="86"/>
      <c r="NU73" s="86"/>
      <c r="NV73" s="86"/>
      <c r="NW73" s="86"/>
      <c r="NX73" s="86"/>
      <c r="NY73" s="86"/>
      <c r="NZ73" s="86"/>
      <c r="OA73" s="86"/>
      <c r="OB73" s="86"/>
      <c r="OC73" s="86"/>
      <c r="OD73" s="86"/>
      <c r="OE73" s="86"/>
      <c r="OF73" s="86"/>
      <c r="OG73" s="86"/>
      <c r="OH73" s="86"/>
      <c r="OI73" s="86"/>
      <c r="OJ73" s="86"/>
      <c r="OK73" s="86"/>
      <c r="OL73" s="86"/>
      <c r="OM73" s="86"/>
      <c r="ON73" s="86"/>
      <c r="OO73" s="86"/>
      <c r="OP73" s="86"/>
      <c r="OQ73" s="86"/>
      <c r="OR73" s="86"/>
      <c r="OS73" s="86"/>
      <c r="OT73" s="86"/>
      <c r="OU73" s="86"/>
      <c r="OV73" s="86"/>
      <c r="OW73" s="86"/>
      <c r="OX73" s="86"/>
      <c r="OY73" s="86"/>
      <c r="OZ73" s="86"/>
      <c r="PA73" s="86"/>
      <c r="PB73" s="86"/>
      <c r="PC73" s="86"/>
      <c r="PD73" s="86"/>
      <c r="PE73" s="86"/>
      <c r="PF73" s="86"/>
      <c r="PG73" s="86"/>
      <c r="PH73" s="86"/>
      <c r="PI73" s="86"/>
      <c r="PJ73" s="86"/>
      <c r="PK73" s="86"/>
      <c r="PL73" s="86"/>
      <c r="PM73" s="86"/>
      <c r="PN73" s="86"/>
      <c r="PO73" s="86"/>
      <c r="PP73" s="86"/>
      <c r="PQ73" s="86"/>
      <c r="PR73" s="86"/>
      <c r="PS73" s="86"/>
      <c r="PT73" s="86"/>
      <c r="PU73" s="86"/>
      <c r="PV73" s="86"/>
      <c r="PW73" s="86"/>
      <c r="PX73" s="86"/>
      <c r="PY73" s="86"/>
      <c r="PZ73" s="86"/>
      <c r="QA73" s="86"/>
      <c r="QB73" s="86"/>
      <c r="QC73" s="86"/>
      <c r="QD73" s="86"/>
      <c r="QE73" s="86"/>
      <c r="QF73" s="86"/>
      <c r="QG73" s="86"/>
      <c r="QH73" s="86"/>
      <c r="QI73" s="86"/>
      <c r="QJ73" s="86"/>
      <c r="QK73" s="86"/>
      <c r="QL73" s="86"/>
      <c r="QM73" s="86"/>
      <c r="QN73" s="86"/>
      <c r="QO73" s="86"/>
      <c r="QP73" s="86"/>
      <c r="QQ73" s="86"/>
      <c r="QR73" s="86"/>
      <c r="QS73" s="86"/>
      <c r="QT73" s="86"/>
      <c r="QU73" s="86"/>
      <c r="QV73" s="86"/>
      <c r="QW73" s="86"/>
      <c r="QX73" s="86"/>
      <c r="QY73" s="86"/>
      <c r="QZ73" s="86"/>
      <c r="RA73" s="86"/>
      <c r="RB73" s="86"/>
      <c r="RC73" s="86"/>
      <c r="RD73" s="86"/>
      <c r="RE73" s="86"/>
      <c r="RF73" s="86"/>
      <c r="RG73" s="86"/>
      <c r="RH73" s="86"/>
      <c r="RI73" s="86"/>
      <c r="RJ73" s="86"/>
      <c r="RK73" s="86"/>
      <c r="RL73" s="86"/>
      <c r="RM73" s="86"/>
    </row>
    <row r="74" spans="1:481">
      <c r="A74" s="150">
        <v>5.0999999999999996</v>
      </c>
      <c r="B74" s="153" t="s">
        <v>31</v>
      </c>
      <c r="C74" s="138">
        <v>10.034843205574912</v>
      </c>
      <c r="D74" s="138">
        <v>2.9486919999999999</v>
      </c>
      <c r="E74" s="138" t="s">
        <v>248</v>
      </c>
      <c r="F74" s="138">
        <v>2.800407144514359</v>
      </c>
      <c r="G74" s="138">
        <v>6.7149145248382816</v>
      </c>
      <c r="H74" s="138">
        <v>0.36947519109903609</v>
      </c>
      <c r="I74" s="138">
        <v>1.0334000000000001</v>
      </c>
      <c r="J74" s="152">
        <v>2.2976181212631785</v>
      </c>
      <c r="K74" s="138">
        <v>2.4838250000000004</v>
      </c>
      <c r="L74" s="138">
        <v>3</v>
      </c>
      <c r="M74" s="138">
        <v>1.0006949270326615</v>
      </c>
      <c r="N74" s="138">
        <v>4.9913121255261981</v>
      </c>
      <c r="O74" s="152">
        <v>5.6553141818447763</v>
      </c>
      <c r="P74" s="67" t="s">
        <v>248</v>
      </c>
      <c r="Q74" s="138">
        <v>6.9651741293532332</v>
      </c>
      <c r="R74" s="138">
        <v>1.2567642262638574</v>
      </c>
      <c r="S74" s="152">
        <v>18.304358338029243</v>
      </c>
      <c r="T74" s="152">
        <v>6.963104248046875</v>
      </c>
      <c r="U74" s="138">
        <v>7</v>
      </c>
      <c r="V74" s="152">
        <v>2.393081</v>
      </c>
      <c r="W74" s="138">
        <v>8.005559416261292</v>
      </c>
      <c r="X74" s="138">
        <v>4.0251572327044025</v>
      </c>
      <c r="Y74" s="138">
        <v>3.0083565459610031</v>
      </c>
      <c r="Z74" s="138">
        <v>4.0939110000000003</v>
      </c>
      <c r="AA74" s="167" t="s">
        <v>248</v>
      </c>
      <c r="AB74" s="138" t="s">
        <v>248</v>
      </c>
      <c r="AC74" s="138">
        <v>3.7396645884120585</v>
      </c>
      <c r="AD74" s="138">
        <v>9.6532199463709976</v>
      </c>
      <c r="AE74" s="140"/>
      <c r="AF74" s="138" t="s">
        <v>248</v>
      </c>
      <c r="AG74" s="138">
        <v>12.246449456421935</v>
      </c>
      <c r="AH74" s="138">
        <v>13.1774</v>
      </c>
      <c r="AI74" s="138">
        <v>13.1774</v>
      </c>
    </row>
    <row r="75" spans="1:481">
      <c r="A75" s="156">
        <v>5.2</v>
      </c>
      <c r="B75" s="157" t="s">
        <v>32</v>
      </c>
      <c r="C75" s="144">
        <v>8.0278745644599301</v>
      </c>
      <c r="D75" s="144">
        <v>5.0527809403491144</v>
      </c>
      <c r="E75" s="144">
        <v>5.0174216027874561</v>
      </c>
      <c r="F75" s="144">
        <v>28.967652398094767</v>
      </c>
      <c r="G75" s="144">
        <v>4.4991430973334117</v>
      </c>
      <c r="H75" s="144">
        <v>6.0972084831631479</v>
      </c>
      <c r="I75" s="144">
        <v>44.086199999999998</v>
      </c>
      <c r="J75" s="152">
        <v>5.5446572926346906</v>
      </c>
      <c r="K75" s="138">
        <v>13.720915</v>
      </c>
      <c r="L75" s="138">
        <v>2</v>
      </c>
      <c r="M75" s="138" t="s">
        <v>248</v>
      </c>
      <c r="N75" s="144">
        <v>18.394712793272326</v>
      </c>
      <c r="O75" s="152">
        <v>6.4075039069185724</v>
      </c>
      <c r="P75" s="67">
        <v>42.07608980061751</v>
      </c>
      <c r="Q75" s="144">
        <v>0.99502487562189057</v>
      </c>
      <c r="R75" s="144">
        <v>2.0036155119790813</v>
      </c>
      <c r="S75" s="152">
        <v>1.2762547910788269</v>
      </c>
      <c r="T75" s="152">
        <v>26.50959587097168</v>
      </c>
      <c r="U75" s="144">
        <v>9</v>
      </c>
      <c r="V75" s="169">
        <v>6.849977</v>
      </c>
      <c r="W75" s="144">
        <v>38.026407227241137</v>
      </c>
      <c r="X75" s="144">
        <v>1.0062893081761006</v>
      </c>
      <c r="Y75" s="144">
        <v>2.0055710306406684</v>
      </c>
      <c r="Z75" s="144">
        <v>9.5678660000000004</v>
      </c>
      <c r="AA75" s="170" t="s">
        <v>248</v>
      </c>
      <c r="AB75" s="144">
        <v>80.3347280334728</v>
      </c>
      <c r="AC75" s="144">
        <v>26.129939898600682</v>
      </c>
      <c r="AD75" s="144">
        <v>10.003809944423276</v>
      </c>
      <c r="AE75" s="140"/>
      <c r="AF75" s="144">
        <v>15</v>
      </c>
      <c r="AG75" s="144" t="s">
        <v>248</v>
      </c>
      <c r="AH75" s="144" t="s">
        <v>248</v>
      </c>
      <c r="AI75" s="144">
        <v>0</v>
      </c>
    </row>
    <row r="76" spans="1:481" s="149" customFormat="1">
      <c r="A76" s="145" t="s">
        <v>2</v>
      </c>
      <c r="B76" s="146" t="s">
        <v>33</v>
      </c>
      <c r="C76" s="147">
        <v>1440</v>
      </c>
      <c r="D76" s="147">
        <v>1439.7814578600774</v>
      </c>
      <c r="E76" s="147">
        <v>1440</v>
      </c>
      <c r="F76" s="147">
        <v>1440</v>
      </c>
      <c r="G76" s="147">
        <v>1440</v>
      </c>
      <c r="H76" s="147">
        <v>1439.6282299576803</v>
      </c>
      <c r="I76" s="147">
        <v>1440.0000023</v>
      </c>
      <c r="J76" s="159">
        <v>1440</v>
      </c>
      <c r="K76" s="158">
        <v>1439.9999230000001</v>
      </c>
      <c r="L76" s="158">
        <v>1440</v>
      </c>
      <c r="M76" s="158">
        <v>1440</v>
      </c>
      <c r="N76" s="147">
        <v>1440</v>
      </c>
      <c r="O76" s="158">
        <v>1440</v>
      </c>
      <c r="P76" s="158">
        <v>1440.1661220547167</v>
      </c>
      <c r="Q76" s="147">
        <v>1440</v>
      </c>
      <c r="R76" s="147">
        <v>1439.9999999999998</v>
      </c>
      <c r="S76" s="159">
        <v>1440</v>
      </c>
      <c r="T76" s="159">
        <v>1440</v>
      </c>
      <c r="U76" s="147">
        <v>1440</v>
      </c>
      <c r="V76" s="148">
        <v>1439.999939</v>
      </c>
      <c r="W76" s="147">
        <v>1440</v>
      </c>
      <c r="X76" s="147">
        <v>1440</v>
      </c>
      <c r="Y76" s="147">
        <v>1440</v>
      </c>
      <c r="Z76" s="147">
        <v>1439.8494631999999</v>
      </c>
      <c r="AA76" s="147">
        <v>1440</v>
      </c>
      <c r="AB76" s="147">
        <v>1440</v>
      </c>
      <c r="AC76" s="147">
        <v>1440</v>
      </c>
      <c r="AD76" s="147">
        <v>1440</v>
      </c>
      <c r="AE76" s="221"/>
      <c r="AF76" s="147">
        <v>1440</v>
      </c>
      <c r="AG76" s="147">
        <v>1440</v>
      </c>
      <c r="AH76" s="147">
        <v>1439.8463010999999</v>
      </c>
      <c r="AI76" s="185">
        <v>1439.8463010999999</v>
      </c>
      <c r="AJ76" s="86"/>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86"/>
      <c r="CD76" s="86"/>
      <c r="CE76" s="86"/>
      <c r="CF76" s="86"/>
      <c r="CG76" s="86"/>
      <c r="CH76" s="86"/>
      <c r="CI76" s="86"/>
      <c r="CJ76" s="86"/>
      <c r="CK76" s="86"/>
      <c r="CL76" s="86"/>
      <c r="CM76" s="86"/>
      <c r="CN76" s="86"/>
      <c r="CO76" s="86"/>
      <c r="CP76" s="86"/>
      <c r="CQ76" s="86"/>
      <c r="CR76" s="86"/>
      <c r="CS76" s="86"/>
      <c r="CT76" s="86"/>
      <c r="CU76" s="86"/>
      <c r="CV76" s="86"/>
      <c r="CW76" s="86"/>
      <c r="CX76" s="86"/>
      <c r="CY76" s="86"/>
      <c r="CZ76" s="86"/>
      <c r="DA76" s="86"/>
      <c r="DB76" s="86"/>
      <c r="DC76" s="86"/>
      <c r="DD76" s="86"/>
      <c r="DE76" s="86"/>
      <c r="DF76" s="86"/>
      <c r="DG76" s="86"/>
      <c r="DH76" s="86"/>
      <c r="DI76" s="86"/>
      <c r="DJ76" s="86"/>
      <c r="DK76" s="86"/>
      <c r="DL76" s="86"/>
      <c r="DM76" s="86"/>
      <c r="DN76" s="86"/>
      <c r="DO76" s="86"/>
      <c r="DP76" s="86"/>
      <c r="DQ76" s="86"/>
      <c r="DR76" s="86"/>
      <c r="DS76" s="86"/>
      <c r="DT76" s="86"/>
      <c r="DU76" s="86"/>
      <c r="DV76" s="86"/>
      <c r="DW76" s="86"/>
      <c r="DX76" s="86"/>
      <c r="DY76" s="86"/>
      <c r="DZ76" s="86"/>
      <c r="EA76" s="86"/>
      <c r="EB76" s="86"/>
      <c r="EC76" s="86"/>
      <c r="ED76" s="86"/>
      <c r="EE76" s="86"/>
      <c r="EF76" s="86"/>
      <c r="EG76" s="86"/>
      <c r="EH76" s="86"/>
      <c r="EI76" s="86"/>
      <c r="EJ76" s="86"/>
      <c r="EK76" s="86"/>
      <c r="EL76" s="86"/>
      <c r="EM76" s="86"/>
      <c r="EN76" s="86"/>
      <c r="EO76" s="86"/>
      <c r="EP76" s="86"/>
      <c r="EQ76" s="86"/>
      <c r="ER76" s="86"/>
      <c r="ES76" s="86"/>
      <c r="ET76" s="86"/>
      <c r="EU76" s="86"/>
      <c r="EV76" s="86"/>
      <c r="EW76" s="86"/>
      <c r="EX76" s="86"/>
      <c r="EY76" s="86"/>
      <c r="EZ76" s="86"/>
      <c r="FA76" s="86"/>
      <c r="FB76" s="86"/>
      <c r="FC76" s="86"/>
      <c r="FD76" s="86"/>
      <c r="FE76" s="86"/>
      <c r="FF76" s="86"/>
      <c r="FG76" s="86"/>
      <c r="FH76" s="86"/>
      <c r="FI76" s="86"/>
      <c r="FJ76" s="86"/>
      <c r="FK76" s="86"/>
      <c r="FL76" s="86"/>
      <c r="FM76" s="86"/>
      <c r="FN76" s="86"/>
      <c r="FO76" s="86"/>
      <c r="FP76" s="86"/>
      <c r="FQ76" s="86"/>
      <c r="FR76" s="86"/>
      <c r="FS76" s="86"/>
      <c r="FT76" s="86"/>
      <c r="FU76" s="86"/>
      <c r="FV76" s="86"/>
      <c r="FW76" s="86"/>
      <c r="FX76" s="86"/>
      <c r="FY76" s="86"/>
      <c r="FZ76" s="86"/>
      <c r="GA76" s="86"/>
      <c r="GB76" s="86"/>
      <c r="GC76" s="86"/>
      <c r="GD76" s="86"/>
      <c r="GE76" s="86"/>
      <c r="GF76" s="86"/>
      <c r="GG76" s="86"/>
      <c r="GH76" s="86"/>
      <c r="GI76" s="86"/>
      <c r="GJ76" s="86"/>
      <c r="GK76" s="86"/>
      <c r="GL76" s="86"/>
      <c r="GM76" s="86"/>
      <c r="GN76" s="86"/>
      <c r="GO76" s="86"/>
      <c r="GP76" s="86"/>
      <c r="GQ76" s="86"/>
      <c r="GR76" s="86"/>
      <c r="GS76" s="86"/>
      <c r="GT76" s="86"/>
      <c r="GU76" s="86"/>
      <c r="GV76" s="86"/>
      <c r="GW76" s="86"/>
      <c r="GX76" s="86"/>
      <c r="GY76" s="86"/>
      <c r="GZ76" s="86"/>
      <c r="HA76" s="86"/>
      <c r="HB76" s="86"/>
      <c r="HC76" s="86"/>
      <c r="HD76" s="86"/>
      <c r="HE76" s="86"/>
      <c r="HF76" s="86"/>
      <c r="HG76" s="86"/>
      <c r="HH76" s="86"/>
      <c r="HI76" s="86"/>
      <c r="HJ76" s="86"/>
      <c r="HK76" s="86"/>
      <c r="HL76" s="86"/>
      <c r="HM76" s="86"/>
      <c r="HN76" s="86"/>
      <c r="HO76" s="86"/>
      <c r="HP76" s="86"/>
      <c r="HQ76" s="86"/>
      <c r="HR76" s="86"/>
      <c r="HS76" s="86"/>
      <c r="HT76" s="86"/>
      <c r="HU76" s="86"/>
      <c r="HV76" s="86"/>
      <c r="HW76" s="86"/>
      <c r="HX76" s="86"/>
      <c r="HY76" s="86"/>
      <c r="HZ76" s="86"/>
      <c r="IA76" s="86"/>
      <c r="IB76" s="86"/>
      <c r="IC76" s="86"/>
      <c r="ID76" s="86"/>
      <c r="IE76" s="86"/>
      <c r="IF76" s="86"/>
      <c r="IG76" s="86"/>
      <c r="IH76" s="86"/>
      <c r="II76" s="86"/>
      <c r="IJ76" s="86"/>
      <c r="IK76" s="86"/>
      <c r="IL76" s="86"/>
      <c r="IM76" s="86"/>
      <c r="IN76" s="86"/>
      <c r="IO76" s="86"/>
      <c r="IP76" s="86"/>
      <c r="IQ76" s="86"/>
      <c r="IR76" s="86"/>
      <c r="IS76" s="86"/>
      <c r="IT76" s="86"/>
      <c r="IU76" s="86"/>
      <c r="IV76" s="86"/>
      <c r="IW76" s="86"/>
      <c r="IX76" s="86"/>
      <c r="IY76" s="86"/>
      <c r="IZ76" s="86"/>
      <c r="JA76" s="86"/>
      <c r="JB76" s="86"/>
      <c r="JC76" s="86"/>
      <c r="JD76" s="86"/>
      <c r="JE76" s="86"/>
      <c r="JF76" s="86"/>
      <c r="JG76" s="86"/>
      <c r="JH76" s="86"/>
      <c r="JI76" s="86"/>
      <c r="JJ76" s="86"/>
      <c r="JK76" s="86"/>
      <c r="JL76" s="86"/>
      <c r="JM76" s="86"/>
      <c r="JN76" s="86"/>
      <c r="JO76" s="86"/>
      <c r="JP76" s="86"/>
      <c r="JQ76" s="86"/>
      <c r="JR76" s="86"/>
      <c r="JS76" s="86"/>
      <c r="JT76" s="86"/>
      <c r="JU76" s="86"/>
      <c r="JV76" s="86"/>
      <c r="JW76" s="86"/>
      <c r="JX76" s="86"/>
      <c r="JY76" s="86"/>
      <c r="JZ76" s="86"/>
      <c r="KA76" s="86"/>
      <c r="KB76" s="86"/>
      <c r="KC76" s="86"/>
      <c r="KD76" s="86"/>
      <c r="KE76" s="86"/>
      <c r="KF76" s="86"/>
      <c r="KG76" s="86"/>
      <c r="KH76" s="86"/>
      <c r="KI76" s="86"/>
      <c r="KJ76" s="86"/>
      <c r="KK76" s="86"/>
      <c r="KL76" s="86"/>
      <c r="KM76" s="86"/>
      <c r="KN76" s="86"/>
      <c r="KO76" s="86"/>
      <c r="KP76" s="86"/>
      <c r="KQ76" s="86"/>
      <c r="KR76" s="86"/>
      <c r="KS76" s="86"/>
      <c r="KT76" s="86"/>
      <c r="KU76" s="86"/>
      <c r="KV76" s="86"/>
      <c r="KW76" s="86"/>
      <c r="KX76" s="86"/>
      <c r="KY76" s="86"/>
      <c r="KZ76" s="86"/>
      <c r="LA76" s="86"/>
      <c r="LB76" s="86"/>
      <c r="LC76" s="86"/>
      <c r="LD76" s="86"/>
      <c r="LE76" s="86"/>
      <c r="LF76" s="86"/>
      <c r="LG76" s="86"/>
      <c r="LH76" s="86"/>
      <c r="LI76" s="86"/>
      <c r="LJ76" s="86"/>
      <c r="LK76" s="86"/>
      <c r="LL76" s="86"/>
      <c r="LM76" s="86"/>
      <c r="LN76" s="86"/>
      <c r="LO76" s="86"/>
      <c r="LP76" s="86"/>
      <c r="LQ76" s="86"/>
      <c r="LR76" s="86"/>
      <c r="LS76" s="86"/>
      <c r="LT76" s="86"/>
      <c r="LU76" s="86"/>
      <c r="LV76" s="86"/>
      <c r="LW76" s="86"/>
      <c r="LX76" s="86"/>
      <c r="LY76" s="86"/>
      <c r="LZ76" s="86"/>
      <c r="MA76" s="86"/>
      <c r="MB76" s="86"/>
      <c r="MC76" s="86"/>
      <c r="MD76" s="86"/>
      <c r="ME76" s="86"/>
      <c r="MF76" s="86"/>
      <c r="MG76" s="86"/>
      <c r="MH76" s="86"/>
      <c r="MI76" s="86"/>
      <c r="MJ76" s="86"/>
      <c r="MK76" s="86"/>
      <c r="ML76" s="86"/>
      <c r="MM76" s="86"/>
      <c r="MN76" s="86"/>
      <c r="MO76" s="86"/>
      <c r="MP76" s="86"/>
      <c r="MQ76" s="86"/>
      <c r="MR76" s="86"/>
      <c r="MS76" s="86"/>
      <c r="MT76" s="86"/>
      <c r="MU76" s="86"/>
      <c r="MV76" s="86"/>
      <c r="MW76" s="86"/>
      <c r="MX76" s="86"/>
      <c r="MY76" s="86"/>
      <c r="MZ76" s="86"/>
      <c r="NA76" s="86"/>
      <c r="NB76" s="86"/>
      <c r="NC76" s="86"/>
      <c r="ND76" s="86"/>
      <c r="NE76" s="86"/>
      <c r="NF76" s="86"/>
      <c r="NG76" s="86"/>
      <c r="NH76" s="86"/>
      <c r="NI76" s="86"/>
      <c r="NJ76" s="86"/>
      <c r="NK76" s="86"/>
      <c r="NL76" s="86"/>
      <c r="NM76" s="86"/>
      <c r="NN76" s="86"/>
      <c r="NO76" s="86"/>
      <c r="NP76" s="86"/>
      <c r="NQ76" s="86"/>
      <c r="NR76" s="86"/>
      <c r="NS76" s="86"/>
      <c r="NT76" s="86"/>
      <c r="NU76" s="86"/>
      <c r="NV76" s="86"/>
      <c r="NW76" s="86"/>
      <c r="NX76" s="86"/>
      <c r="NY76" s="86"/>
      <c r="NZ76" s="86"/>
      <c r="OA76" s="86"/>
      <c r="OB76" s="86"/>
      <c r="OC76" s="86"/>
      <c r="OD76" s="86"/>
      <c r="OE76" s="86"/>
      <c r="OF76" s="86"/>
      <c r="OG76" s="86"/>
      <c r="OH76" s="86"/>
      <c r="OI76" s="86"/>
      <c r="OJ76" s="86"/>
      <c r="OK76" s="86"/>
      <c r="OL76" s="86"/>
      <c r="OM76" s="86"/>
      <c r="ON76" s="86"/>
      <c r="OO76" s="86"/>
      <c r="OP76" s="86"/>
      <c r="OQ76" s="86"/>
      <c r="OR76" s="86"/>
      <c r="OS76" s="86"/>
      <c r="OT76" s="86"/>
      <c r="OU76" s="86"/>
      <c r="OV76" s="86"/>
      <c r="OW76" s="86"/>
      <c r="OX76" s="86"/>
      <c r="OY76" s="86"/>
      <c r="OZ76" s="86"/>
      <c r="PA76" s="86"/>
      <c r="PB76" s="86"/>
      <c r="PC76" s="86"/>
      <c r="PD76" s="86"/>
      <c r="PE76" s="86"/>
      <c r="PF76" s="86"/>
      <c r="PG76" s="86"/>
      <c r="PH76" s="86"/>
      <c r="PI76" s="86"/>
      <c r="PJ76" s="86"/>
      <c r="PK76" s="86"/>
      <c r="PL76" s="86"/>
      <c r="PM76" s="86"/>
      <c r="PN76" s="86"/>
      <c r="PO76" s="86"/>
      <c r="PP76" s="86"/>
      <c r="PQ76" s="86"/>
      <c r="PR76" s="86"/>
      <c r="PS76" s="86"/>
      <c r="PT76" s="86"/>
      <c r="PU76" s="86"/>
      <c r="PV76" s="86"/>
      <c r="PW76" s="86"/>
      <c r="PX76" s="86"/>
      <c r="PY76" s="86"/>
      <c r="PZ76" s="86"/>
      <c r="QA76" s="86"/>
      <c r="QB76" s="86"/>
      <c r="QC76" s="86"/>
      <c r="QD76" s="86"/>
      <c r="QE76" s="86"/>
      <c r="QF76" s="86"/>
      <c r="QG76" s="86"/>
      <c r="QH76" s="86"/>
      <c r="QI76" s="86"/>
      <c r="QJ76" s="86"/>
      <c r="QK76" s="86"/>
      <c r="QL76" s="86"/>
      <c r="QM76" s="86"/>
      <c r="QN76" s="86"/>
      <c r="QO76" s="86"/>
      <c r="QP76" s="86"/>
      <c r="QQ76" s="86"/>
      <c r="QR76" s="86"/>
      <c r="QS76" s="86"/>
      <c r="QT76" s="86"/>
      <c r="QU76" s="86"/>
      <c r="QV76" s="86"/>
      <c r="QW76" s="86"/>
      <c r="QX76" s="86"/>
      <c r="QY76" s="86"/>
      <c r="QZ76" s="86"/>
      <c r="RA76" s="86"/>
      <c r="RB76" s="86"/>
      <c r="RC76" s="86"/>
      <c r="RD76" s="86"/>
      <c r="RE76" s="86"/>
      <c r="RF76" s="86"/>
      <c r="RG76" s="86"/>
      <c r="RH76" s="86"/>
      <c r="RI76" s="86"/>
      <c r="RJ76" s="86"/>
      <c r="RK76" s="86"/>
      <c r="RL76" s="86"/>
      <c r="RM76" s="86"/>
    </row>
    <row r="77" spans="1:481">
      <c r="A77" s="160" t="s">
        <v>512</v>
      </c>
      <c r="C77" s="91" t="s">
        <v>503</v>
      </c>
      <c r="D77" s="92"/>
      <c r="E77" s="91" t="s">
        <v>518</v>
      </c>
      <c r="F77" s="92"/>
      <c r="G77" s="92"/>
      <c r="H77" s="162"/>
      <c r="I77" s="92"/>
      <c r="J77" s="92"/>
      <c r="K77" s="92"/>
      <c r="L77" s="91" t="s">
        <v>517</v>
      </c>
      <c r="M77" s="91" t="s">
        <v>504</v>
      </c>
      <c r="N77" s="92"/>
      <c r="O77" s="92"/>
      <c r="P77" s="92"/>
      <c r="Q77" s="92"/>
      <c r="R77" s="92"/>
      <c r="S77" s="92"/>
      <c r="T77" s="92"/>
      <c r="U77" s="92"/>
      <c r="V77" s="92"/>
      <c r="W77" s="91" t="s">
        <v>503</v>
      </c>
      <c r="X77" s="92"/>
      <c r="Y77" s="92"/>
      <c r="Z77" s="92"/>
      <c r="AA77" s="91" t="s">
        <v>528</v>
      </c>
      <c r="AB77" s="91" t="s">
        <v>517</v>
      </c>
      <c r="AC77" s="92"/>
      <c r="AD77" s="92"/>
      <c r="AE77" s="86"/>
      <c r="AF77" s="91" t="s">
        <v>504</v>
      </c>
      <c r="AG77" s="92"/>
      <c r="AH77" s="92"/>
      <c r="AI77" s="93"/>
    </row>
    <row r="78" spans="1:481" ht="303.75">
      <c r="A78" s="164"/>
      <c r="H78" s="88"/>
      <c r="L78" s="86"/>
      <c r="O78" s="87"/>
      <c r="P78" s="174" t="s">
        <v>559</v>
      </c>
      <c r="Q78" s="164"/>
      <c r="R78" s="164"/>
      <c r="S78" s="183" t="s">
        <v>556</v>
      </c>
      <c r="T78" s="175"/>
      <c r="U78" s="164"/>
      <c r="V78" s="176"/>
      <c r="W78" s="174" t="s">
        <v>524</v>
      </c>
      <c r="X78" s="164"/>
      <c r="Y78" s="175"/>
      <c r="Z78" s="164"/>
      <c r="AA78" s="175" t="s">
        <v>505</v>
      </c>
      <c r="AB78" s="174" t="s">
        <v>523</v>
      </c>
      <c r="AD78" s="87"/>
      <c r="AE78" s="86"/>
      <c r="AF78" s="87"/>
      <c r="AG78" s="87"/>
      <c r="AH78" s="87"/>
      <c r="AI78" s="93"/>
    </row>
    <row r="79" spans="1:481">
      <c r="F79" s="94"/>
      <c r="H79" s="88"/>
      <c r="I79" s="94"/>
      <c r="O79" s="87"/>
      <c r="P79" s="87"/>
      <c r="Q79" s="87"/>
      <c r="R79" s="87"/>
      <c r="S79" s="94"/>
      <c r="T79" s="87"/>
      <c r="U79" s="87"/>
      <c r="V79" s="87"/>
      <c r="W79" s="87"/>
      <c r="AF79" s="87"/>
      <c r="AG79" s="93"/>
    </row>
    <row r="80" spans="1:481">
      <c r="A80" s="164" t="s">
        <v>506</v>
      </c>
      <c r="B80" s="164"/>
      <c r="C80" s="164"/>
      <c r="D80" s="164"/>
      <c r="E80" s="164"/>
      <c r="H80" s="88"/>
      <c r="P80" s="87"/>
      <c r="Q80" s="87"/>
      <c r="R80" s="87"/>
      <c r="T80" s="87"/>
      <c r="U80" s="87"/>
      <c r="V80" s="87"/>
      <c r="W80" s="87"/>
      <c r="AC80" s="86"/>
      <c r="AF80" s="87"/>
      <c r="AG80" s="93"/>
    </row>
    <row r="81" spans="1:481">
      <c r="A81" s="164" t="s">
        <v>507</v>
      </c>
      <c r="H81" s="88"/>
      <c r="P81" s="87"/>
      <c r="Q81" s="87"/>
      <c r="R81" s="87"/>
      <c r="T81" s="87"/>
      <c r="U81" s="87"/>
      <c r="V81" s="87"/>
      <c r="W81" s="87"/>
      <c r="AC81" s="86"/>
      <c r="AF81" s="87"/>
      <c r="AG81" s="93"/>
    </row>
    <row r="82" spans="1:481">
      <c r="H82" s="88"/>
      <c r="P82" s="87"/>
      <c r="Q82" s="87"/>
      <c r="R82" s="87"/>
      <c r="T82" s="87"/>
      <c r="U82" s="87"/>
      <c r="V82" s="87"/>
      <c r="W82" s="87"/>
      <c r="AF82" s="87"/>
      <c r="AG82" s="93"/>
    </row>
    <row r="83" spans="1:481" s="132" customFormat="1" ht="12.75">
      <c r="A83" s="131" t="s">
        <v>513</v>
      </c>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row>
    <row r="84" spans="1:481">
      <c r="A84" s="133" t="s">
        <v>514</v>
      </c>
      <c r="B84" s="133"/>
      <c r="C84" s="133"/>
      <c r="D84" s="133"/>
      <c r="E84" s="133"/>
      <c r="F84" s="133"/>
      <c r="G84" s="95"/>
      <c r="H84" s="95"/>
      <c r="I84" s="95"/>
      <c r="J84" s="95"/>
      <c r="K84" s="95"/>
      <c r="L84" s="95"/>
      <c r="M84" s="95"/>
      <c r="N84" s="95"/>
      <c r="O84" s="95"/>
      <c r="P84" s="95"/>
      <c r="Q84" s="95"/>
      <c r="R84" s="95"/>
      <c r="S84" s="95"/>
      <c r="T84" s="95"/>
      <c r="U84" s="95"/>
      <c r="V84" s="95"/>
      <c r="W84" s="95"/>
      <c r="X84" s="95"/>
      <c r="Y84" s="95"/>
      <c r="Z84" s="95"/>
      <c r="AA84" s="95"/>
      <c r="AB84" s="95"/>
      <c r="AC84" s="95"/>
      <c r="AE84" s="95"/>
    </row>
    <row r="85" spans="1:481" ht="22.5">
      <c r="A85" s="136" t="s">
        <v>510</v>
      </c>
      <c r="B85" s="137" t="s">
        <v>511</v>
      </c>
      <c r="C85" s="87" t="s">
        <v>492</v>
      </c>
      <c r="D85" s="87" t="s">
        <v>34</v>
      </c>
      <c r="E85" s="87" t="s">
        <v>493</v>
      </c>
      <c r="F85" s="87" t="s">
        <v>39</v>
      </c>
      <c r="G85" s="89" t="s">
        <v>238</v>
      </c>
      <c r="H85" s="89" t="s">
        <v>239</v>
      </c>
      <c r="I85" s="139" t="s">
        <v>40</v>
      </c>
      <c r="J85" s="89" t="s">
        <v>42</v>
      </c>
      <c r="K85" s="89" t="s">
        <v>43</v>
      </c>
      <c r="L85" s="87" t="s">
        <v>521</v>
      </c>
      <c r="M85" s="89" t="s">
        <v>495</v>
      </c>
      <c r="N85" s="89" t="s">
        <v>240</v>
      </c>
      <c r="O85" s="89" t="s">
        <v>496</v>
      </c>
      <c r="P85" s="89" t="s">
        <v>45</v>
      </c>
      <c r="Q85" s="89" t="s">
        <v>242</v>
      </c>
      <c r="R85" s="89" t="s">
        <v>52</v>
      </c>
      <c r="S85" s="89" t="s">
        <v>49</v>
      </c>
      <c r="T85" s="89" t="s">
        <v>243</v>
      </c>
      <c r="U85" s="139" t="s">
        <v>244</v>
      </c>
      <c r="V85" s="89" t="s">
        <v>497</v>
      </c>
      <c r="W85" s="89" t="s">
        <v>498</v>
      </c>
      <c r="X85" s="89" t="s">
        <v>245</v>
      </c>
      <c r="Y85" s="89" t="s">
        <v>246</v>
      </c>
      <c r="Z85" s="89" t="s">
        <v>53</v>
      </c>
      <c r="AA85" s="89" t="s">
        <v>417</v>
      </c>
      <c r="AB85" s="89" t="s">
        <v>603</v>
      </c>
      <c r="AC85" s="139" t="s">
        <v>499</v>
      </c>
      <c r="AD85" s="89" t="s">
        <v>500</v>
      </c>
      <c r="AE85" s="166"/>
      <c r="AF85" s="89" t="s">
        <v>501</v>
      </c>
      <c r="AG85" s="89" t="s">
        <v>342</v>
      </c>
      <c r="AH85" s="90" t="s">
        <v>343</v>
      </c>
    </row>
    <row r="86" spans="1:481">
      <c r="A86" s="141"/>
      <c r="B86" s="142"/>
      <c r="C86" s="143">
        <v>2006</v>
      </c>
      <c r="D86" s="143" t="s">
        <v>35</v>
      </c>
      <c r="E86" s="143">
        <v>2013</v>
      </c>
      <c r="F86" s="173">
        <v>2015</v>
      </c>
      <c r="G86" s="143">
        <v>2001</v>
      </c>
      <c r="H86" s="144" t="s">
        <v>41</v>
      </c>
      <c r="I86" s="173" t="s">
        <v>41</v>
      </c>
      <c r="J86" s="143" t="s">
        <v>41</v>
      </c>
      <c r="K86" s="143" t="s">
        <v>44</v>
      </c>
      <c r="L86" s="143">
        <v>2013</v>
      </c>
      <c r="M86" s="143" t="s">
        <v>515</v>
      </c>
      <c r="N86" s="143">
        <v>2005</v>
      </c>
      <c r="O86" s="143" t="s">
        <v>48</v>
      </c>
      <c r="P86" s="143">
        <v>2016</v>
      </c>
      <c r="Q86" s="143">
        <v>2009</v>
      </c>
      <c r="R86" s="143">
        <v>2003</v>
      </c>
      <c r="S86" s="143">
        <v>2014</v>
      </c>
      <c r="T86" s="143" t="s">
        <v>516</v>
      </c>
      <c r="U86" s="173" t="s">
        <v>41</v>
      </c>
      <c r="V86" s="143" t="s">
        <v>51</v>
      </c>
      <c r="W86" s="143">
        <v>2013</v>
      </c>
      <c r="X86" s="143">
        <v>1999</v>
      </c>
      <c r="Y86" s="143" t="s">
        <v>247</v>
      </c>
      <c r="Z86" s="173" t="s">
        <v>41</v>
      </c>
      <c r="AA86" s="173">
        <v>2010</v>
      </c>
      <c r="AB86" s="143" t="s">
        <v>54</v>
      </c>
      <c r="AC86" s="173" t="s">
        <v>55</v>
      </c>
      <c r="AD86" s="173">
        <v>2016</v>
      </c>
      <c r="AE86" s="166"/>
      <c r="AF86" s="143">
        <v>2008</v>
      </c>
      <c r="AG86" s="143">
        <v>1999</v>
      </c>
      <c r="AH86" s="144">
        <v>2010</v>
      </c>
    </row>
    <row r="87" spans="1:481" s="149" customFormat="1">
      <c r="A87" s="145">
        <v>1</v>
      </c>
      <c r="B87" s="146" t="s">
        <v>3</v>
      </c>
      <c r="C87" s="171">
        <v>172</v>
      </c>
      <c r="D87" s="171">
        <v>248.75507149999999</v>
      </c>
      <c r="E87" s="171">
        <v>158.88965995836224</v>
      </c>
      <c r="F87" s="171">
        <v>268.28390385835377</v>
      </c>
      <c r="G87" s="147">
        <v>194.58598564497333</v>
      </c>
      <c r="H87" s="148">
        <v>244.85325166053735</v>
      </c>
      <c r="I87" s="147">
        <v>209.89100100000002</v>
      </c>
      <c r="J87" s="154">
        <v>175.3629890807955</v>
      </c>
      <c r="K87" s="147">
        <v>205.45386466666665</v>
      </c>
      <c r="L87" s="171">
        <v>144.5983379501385</v>
      </c>
      <c r="M87" s="147">
        <v>231.98329853862214</v>
      </c>
      <c r="N87" s="147">
        <v>197.12038880508263</v>
      </c>
      <c r="O87" s="148">
        <v>133.11971288918906</v>
      </c>
      <c r="P87" s="148">
        <v>289.83363015337198</v>
      </c>
      <c r="Q87" s="147">
        <v>273.29053865475856</v>
      </c>
      <c r="R87" s="171">
        <v>288.46830888374137</v>
      </c>
      <c r="S87" s="147">
        <v>250.08227326531639</v>
      </c>
      <c r="T87" s="148">
        <v>205.451904296875</v>
      </c>
      <c r="U87" s="147">
        <v>205</v>
      </c>
      <c r="V87" s="147">
        <v>199.98745200000002</v>
      </c>
      <c r="W87" s="147">
        <v>161.10497237569061</v>
      </c>
      <c r="X87" s="147">
        <v>231.28491620111734</v>
      </c>
      <c r="Y87" s="147">
        <v>234.1626129256428</v>
      </c>
      <c r="Z87" s="147">
        <v>166.75361959999998</v>
      </c>
      <c r="AA87" s="147">
        <v>268.72907216365803</v>
      </c>
      <c r="AB87" s="147">
        <v>116.32311977586332</v>
      </c>
      <c r="AC87" s="154">
        <v>216.20476138540417</v>
      </c>
      <c r="AD87" s="147">
        <v>245.59097296922502</v>
      </c>
      <c r="AE87" s="221"/>
      <c r="AF87" s="147">
        <v>291</v>
      </c>
      <c r="AG87" s="147">
        <v>184.70367524046912</v>
      </c>
      <c r="AH87" s="147">
        <v>195.03344999999999</v>
      </c>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86"/>
      <c r="CD87" s="86"/>
      <c r="CE87" s="86"/>
      <c r="CF87" s="86"/>
      <c r="CG87" s="86"/>
      <c r="CH87" s="86"/>
      <c r="CI87" s="86"/>
      <c r="CJ87" s="86"/>
      <c r="CK87" s="86"/>
      <c r="CL87" s="86"/>
      <c r="CM87" s="86"/>
      <c r="CN87" s="86"/>
      <c r="CO87" s="86"/>
      <c r="CP87" s="86"/>
      <c r="CQ87" s="86"/>
      <c r="CR87" s="86"/>
      <c r="CS87" s="86"/>
      <c r="CT87" s="86"/>
      <c r="CU87" s="86"/>
      <c r="CV87" s="86"/>
      <c r="CW87" s="86"/>
      <c r="CX87" s="86"/>
      <c r="CY87" s="86"/>
      <c r="CZ87" s="86"/>
      <c r="DA87" s="86"/>
      <c r="DB87" s="86"/>
      <c r="DC87" s="86"/>
      <c r="DD87" s="86"/>
      <c r="DE87" s="86"/>
      <c r="DF87" s="86"/>
      <c r="DG87" s="86"/>
      <c r="DH87" s="86"/>
      <c r="DI87" s="86"/>
      <c r="DJ87" s="86"/>
      <c r="DK87" s="86"/>
      <c r="DL87" s="86"/>
      <c r="DM87" s="86"/>
      <c r="DN87" s="86"/>
      <c r="DO87" s="86"/>
      <c r="DP87" s="86"/>
      <c r="DQ87" s="86"/>
      <c r="DR87" s="86"/>
      <c r="DS87" s="86"/>
      <c r="DT87" s="86"/>
      <c r="DU87" s="86"/>
      <c r="DV87" s="86"/>
      <c r="DW87" s="86"/>
      <c r="DX87" s="86"/>
      <c r="DY87" s="86"/>
      <c r="DZ87" s="86"/>
      <c r="EA87" s="86"/>
      <c r="EB87" s="86"/>
      <c r="EC87" s="86"/>
      <c r="ED87" s="86"/>
      <c r="EE87" s="86"/>
      <c r="EF87" s="86"/>
      <c r="EG87" s="86"/>
      <c r="EH87" s="86"/>
      <c r="EI87" s="86"/>
      <c r="EJ87" s="86"/>
      <c r="EK87" s="86"/>
      <c r="EL87" s="86"/>
      <c r="EM87" s="86"/>
      <c r="EN87" s="86"/>
      <c r="EO87" s="86"/>
      <c r="EP87" s="86"/>
      <c r="EQ87" s="86"/>
      <c r="ER87" s="86"/>
      <c r="ES87" s="86"/>
      <c r="ET87" s="86"/>
      <c r="EU87" s="86"/>
      <c r="EV87" s="86"/>
      <c r="EW87" s="86"/>
      <c r="EX87" s="86"/>
      <c r="EY87" s="86"/>
      <c r="EZ87" s="86"/>
      <c r="FA87" s="86"/>
      <c r="FB87" s="86"/>
      <c r="FC87" s="86"/>
      <c r="FD87" s="86"/>
      <c r="FE87" s="86"/>
      <c r="FF87" s="86"/>
      <c r="FG87" s="86"/>
      <c r="FH87" s="86"/>
      <c r="FI87" s="86"/>
      <c r="FJ87" s="86"/>
      <c r="FK87" s="86"/>
      <c r="FL87" s="86"/>
      <c r="FM87" s="86"/>
      <c r="FN87" s="86"/>
      <c r="FO87" s="86"/>
      <c r="FP87" s="86"/>
      <c r="FQ87" s="86"/>
      <c r="FR87" s="86"/>
      <c r="FS87" s="86"/>
      <c r="FT87" s="86"/>
      <c r="FU87" s="86"/>
      <c r="FV87" s="86"/>
      <c r="FW87" s="86"/>
      <c r="FX87" s="86"/>
      <c r="FY87" s="86"/>
      <c r="FZ87" s="86"/>
      <c r="GA87" s="86"/>
      <c r="GB87" s="86"/>
      <c r="GC87" s="86"/>
      <c r="GD87" s="86"/>
      <c r="GE87" s="86"/>
      <c r="GF87" s="86"/>
      <c r="GG87" s="86"/>
      <c r="GH87" s="86"/>
      <c r="GI87" s="86"/>
      <c r="GJ87" s="86"/>
      <c r="GK87" s="86"/>
      <c r="GL87" s="86"/>
      <c r="GM87" s="86"/>
      <c r="GN87" s="86"/>
      <c r="GO87" s="86"/>
      <c r="GP87" s="86"/>
      <c r="GQ87" s="86"/>
      <c r="GR87" s="86"/>
      <c r="GS87" s="86"/>
      <c r="GT87" s="86"/>
      <c r="GU87" s="86"/>
      <c r="GV87" s="86"/>
      <c r="GW87" s="86"/>
      <c r="GX87" s="86"/>
      <c r="GY87" s="86"/>
      <c r="GZ87" s="86"/>
      <c r="HA87" s="86"/>
      <c r="HB87" s="86"/>
      <c r="HC87" s="86"/>
      <c r="HD87" s="86"/>
      <c r="HE87" s="86"/>
      <c r="HF87" s="86"/>
      <c r="HG87" s="86"/>
      <c r="HH87" s="86"/>
      <c r="HI87" s="86"/>
      <c r="HJ87" s="86"/>
      <c r="HK87" s="86"/>
      <c r="HL87" s="86"/>
      <c r="HM87" s="86"/>
      <c r="HN87" s="86"/>
      <c r="HO87" s="86"/>
      <c r="HP87" s="86"/>
      <c r="HQ87" s="86"/>
      <c r="HR87" s="86"/>
      <c r="HS87" s="86"/>
      <c r="HT87" s="86"/>
      <c r="HU87" s="86"/>
      <c r="HV87" s="86"/>
      <c r="HW87" s="86"/>
      <c r="HX87" s="86"/>
      <c r="HY87" s="86"/>
      <c r="HZ87" s="86"/>
      <c r="IA87" s="86"/>
      <c r="IB87" s="86"/>
      <c r="IC87" s="86"/>
      <c r="ID87" s="86"/>
      <c r="IE87" s="86"/>
      <c r="IF87" s="86"/>
      <c r="IG87" s="86"/>
      <c r="IH87" s="86"/>
      <c r="II87" s="86"/>
      <c r="IJ87" s="86"/>
      <c r="IK87" s="86"/>
      <c r="IL87" s="86"/>
      <c r="IM87" s="86"/>
      <c r="IN87" s="86"/>
      <c r="IO87" s="86"/>
      <c r="IP87" s="86"/>
      <c r="IQ87" s="86"/>
      <c r="IR87" s="86"/>
      <c r="IS87" s="86"/>
      <c r="IT87" s="86"/>
      <c r="IU87" s="86"/>
      <c r="IV87" s="86"/>
      <c r="IW87" s="86"/>
      <c r="IX87" s="86"/>
      <c r="IY87" s="86"/>
      <c r="IZ87" s="86"/>
      <c r="JA87" s="86"/>
      <c r="JB87" s="86"/>
      <c r="JC87" s="86"/>
      <c r="JD87" s="86"/>
      <c r="JE87" s="86"/>
      <c r="JF87" s="86"/>
      <c r="JG87" s="86"/>
      <c r="JH87" s="86"/>
      <c r="JI87" s="86"/>
      <c r="JJ87" s="86"/>
      <c r="JK87" s="86"/>
      <c r="JL87" s="86"/>
      <c r="JM87" s="86"/>
      <c r="JN87" s="86"/>
      <c r="JO87" s="86"/>
      <c r="JP87" s="86"/>
      <c r="JQ87" s="86"/>
      <c r="JR87" s="86"/>
      <c r="JS87" s="86"/>
      <c r="JT87" s="86"/>
      <c r="JU87" s="86"/>
      <c r="JV87" s="86"/>
      <c r="JW87" s="86"/>
      <c r="JX87" s="86"/>
      <c r="JY87" s="86"/>
      <c r="JZ87" s="86"/>
      <c r="KA87" s="86"/>
      <c r="KB87" s="86"/>
      <c r="KC87" s="86"/>
      <c r="KD87" s="86"/>
      <c r="KE87" s="86"/>
      <c r="KF87" s="86"/>
      <c r="KG87" s="86"/>
      <c r="KH87" s="86"/>
      <c r="KI87" s="86"/>
      <c r="KJ87" s="86"/>
      <c r="KK87" s="86"/>
      <c r="KL87" s="86"/>
      <c r="KM87" s="86"/>
      <c r="KN87" s="86"/>
      <c r="KO87" s="86"/>
      <c r="KP87" s="86"/>
      <c r="KQ87" s="86"/>
      <c r="KR87" s="86"/>
      <c r="KS87" s="86"/>
      <c r="KT87" s="86"/>
      <c r="KU87" s="86"/>
      <c r="KV87" s="86"/>
      <c r="KW87" s="86"/>
      <c r="KX87" s="86"/>
      <c r="KY87" s="86"/>
      <c r="KZ87" s="86"/>
      <c r="LA87" s="86"/>
      <c r="LB87" s="86"/>
      <c r="LC87" s="86"/>
      <c r="LD87" s="86"/>
      <c r="LE87" s="86"/>
      <c r="LF87" s="86"/>
      <c r="LG87" s="86"/>
      <c r="LH87" s="86"/>
      <c r="LI87" s="86"/>
      <c r="LJ87" s="86"/>
      <c r="LK87" s="86"/>
      <c r="LL87" s="86"/>
      <c r="LM87" s="86"/>
      <c r="LN87" s="86"/>
      <c r="LO87" s="86"/>
      <c r="LP87" s="86"/>
      <c r="LQ87" s="86"/>
      <c r="LR87" s="86"/>
      <c r="LS87" s="86"/>
      <c r="LT87" s="86"/>
      <c r="LU87" s="86"/>
      <c r="LV87" s="86"/>
      <c r="LW87" s="86"/>
      <c r="LX87" s="86"/>
      <c r="LY87" s="86"/>
      <c r="LZ87" s="86"/>
      <c r="MA87" s="86"/>
      <c r="MB87" s="86"/>
      <c r="MC87" s="86"/>
      <c r="MD87" s="86"/>
      <c r="ME87" s="86"/>
      <c r="MF87" s="86"/>
      <c r="MG87" s="86"/>
      <c r="MH87" s="86"/>
      <c r="MI87" s="86"/>
      <c r="MJ87" s="86"/>
      <c r="MK87" s="86"/>
      <c r="ML87" s="86"/>
      <c r="MM87" s="86"/>
      <c r="MN87" s="86"/>
      <c r="MO87" s="86"/>
      <c r="MP87" s="86"/>
      <c r="MQ87" s="86"/>
      <c r="MR87" s="86"/>
      <c r="MS87" s="86"/>
      <c r="MT87" s="86"/>
      <c r="MU87" s="86"/>
      <c r="MV87" s="86"/>
      <c r="MW87" s="86"/>
      <c r="MX87" s="86"/>
      <c r="MY87" s="86"/>
      <c r="MZ87" s="86"/>
      <c r="NA87" s="86"/>
      <c r="NB87" s="86"/>
      <c r="NC87" s="86"/>
      <c r="ND87" s="86"/>
      <c r="NE87" s="86"/>
      <c r="NF87" s="86"/>
      <c r="NG87" s="86"/>
      <c r="NH87" s="86"/>
      <c r="NI87" s="86"/>
      <c r="NJ87" s="86"/>
      <c r="NK87" s="86"/>
      <c r="NL87" s="86"/>
      <c r="NM87" s="86"/>
      <c r="NN87" s="86"/>
      <c r="NO87" s="86"/>
      <c r="NP87" s="86"/>
      <c r="NQ87" s="86"/>
      <c r="NR87" s="86"/>
      <c r="NS87" s="86"/>
      <c r="NT87" s="86"/>
      <c r="NU87" s="86"/>
      <c r="NV87" s="86"/>
      <c r="NW87" s="86"/>
      <c r="NX87" s="86"/>
      <c r="NY87" s="86"/>
      <c r="NZ87" s="86"/>
      <c r="OA87" s="86"/>
      <c r="OB87" s="86"/>
      <c r="OC87" s="86"/>
      <c r="OD87" s="86"/>
      <c r="OE87" s="86"/>
      <c r="OF87" s="86"/>
      <c r="OG87" s="86"/>
      <c r="OH87" s="86"/>
      <c r="OI87" s="86"/>
      <c r="OJ87" s="86"/>
      <c r="OK87" s="86"/>
      <c r="OL87" s="86"/>
      <c r="OM87" s="86"/>
      <c r="ON87" s="86"/>
      <c r="OO87" s="86"/>
      <c r="OP87" s="86"/>
      <c r="OQ87" s="86"/>
      <c r="OR87" s="86"/>
      <c r="OS87" s="86"/>
      <c r="OT87" s="86"/>
      <c r="OU87" s="86"/>
      <c r="OV87" s="86"/>
      <c r="OW87" s="86"/>
      <c r="OX87" s="86"/>
      <c r="OY87" s="86"/>
      <c r="OZ87" s="86"/>
      <c r="PA87" s="86"/>
      <c r="PB87" s="86"/>
      <c r="PC87" s="86"/>
      <c r="PD87" s="86"/>
      <c r="PE87" s="86"/>
      <c r="PF87" s="86"/>
      <c r="PG87" s="86"/>
      <c r="PH87" s="86"/>
      <c r="PI87" s="86"/>
      <c r="PJ87" s="86"/>
      <c r="PK87" s="86"/>
      <c r="PL87" s="86"/>
      <c r="PM87" s="86"/>
      <c r="PN87" s="86"/>
      <c r="PO87" s="86"/>
      <c r="PP87" s="86"/>
      <c r="PQ87" s="86"/>
      <c r="PR87" s="86"/>
      <c r="PS87" s="86"/>
      <c r="PT87" s="86"/>
      <c r="PU87" s="86"/>
      <c r="PV87" s="86"/>
      <c r="PW87" s="86"/>
      <c r="PX87" s="86"/>
      <c r="PY87" s="86"/>
      <c r="PZ87" s="86"/>
      <c r="QA87" s="86"/>
      <c r="QB87" s="86"/>
      <c r="QC87" s="86"/>
      <c r="QD87" s="86"/>
      <c r="QE87" s="86"/>
      <c r="QF87" s="86"/>
      <c r="QG87" s="86"/>
      <c r="QH87" s="86"/>
      <c r="QI87" s="86"/>
      <c r="QJ87" s="86"/>
      <c r="QK87" s="86"/>
      <c r="QL87" s="86"/>
      <c r="QM87" s="86"/>
      <c r="QN87" s="86"/>
      <c r="QO87" s="86"/>
      <c r="QP87" s="86"/>
      <c r="QQ87" s="86"/>
      <c r="QR87" s="86"/>
      <c r="QS87" s="86"/>
      <c r="QT87" s="86"/>
      <c r="QU87" s="86"/>
      <c r="QV87" s="86"/>
      <c r="QW87" s="86"/>
      <c r="QX87" s="86"/>
      <c r="QY87" s="86"/>
      <c r="QZ87" s="86"/>
      <c r="RA87" s="86"/>
      <c r="RB87" s="86"/>
      <c r="RC87" s="86"/>
      <c r="RD87" s="86"/>
      <c r="RE87" s="86"/>
      <c r="RF87" s="86"/>
      <c r="RG87" s="86"/>
      <c r="RH87" s="86"/>
      <c r="RI87" s="86"/>
      <c r="RJ87" s="86"/>
      <c r="RK87" s="86"/>
      <c r="RL87" s="86"/>
      <c r="RM87" s="86"/>
    </row>
    <row r="88" spans="1:481">
      <c r="A88" s="150">
        <v>1.1000000000000001</v>
      </c>
      <c r="B88" s="151" t="s">
        <v>4</v>
      </c>
      <c r="C88" s="134">
        <v>128</v>
      </c>
      <c r="D88" s="134">
        <v>192.7953</v>
      </c>
      <c r="E88" s="134">
        <v>98.931297709923669</v>
      </c>
      <c r="F88" s="134">
        <v>205.96109796921738</v>
      </c>
      <c r="G88" s="138">
        <v>146.96370698440825</v>
      </c>
      <c r="H88" s="138">
        <v>190.69854678673062</v>
      </c>
      <c r="I88" s="138">
        <v>157.0299</v>
      </c>
      <c r="J88" s="152">
        <v>117.99821034942636</v>
      </c>
      <c r="K88" s="138">
        <v>154.48500000000001</v>
      </c>
      <c r="L88" s="134">
        <v>86.7590027700831</v>
      </c>
      <c r="M88" s="138">
        <v>171.35699373695201</v>
      </c>
      <c r="N88" s="138">
        <v>141.9783554829524</v>
      </c>
      <c r="O88" s="152">
        <v>84.048203388998473</v>
      </c>
      <c r="P88" s="152">
        <v>218.30815236171287</v>
      </c>
      <c r="Q88" s="138">
        <v>166.78760814959531</v>
      </c>
      <c r="R88" s="134">
        <v>241.57243867899635</v>
      </c>
      <c r="S88" s="138">
        <v>174.89695333054644</v>
      </c>
      <c r="T88" s="152">
        <v>145.7584228515625</v>
      </c>
      <c r="U88" s="138">
        <v>160</v>
      </c>
      <c r="V88" s="138">
        <v>129.49600000000001</v>
      </c>
      <c r="W88" s="138">
        <v>121.32596685082873</v>
      </c>
      <c r="X88" s="138">
        <v>178.99441340782121</v>
      </c>
      <c r="Y88" s="138">
        <v>169.1174426685198</v>
      </c>
      <c r="Z88" s="138">
        <v>120.7323</v>
      </c>
      <c r="AA88" s="138">
        <v>212.03213457389219</v>
      </c>
      <c r="AB88" s="138">
        <v>69.192200556332494</v>
      </c>
      <c r="AC88" s="152">
        <v>159.43898561229821</v>
      </c>
      <c r="AD88" s="138">
        <v>189.82920461390427</v>
      </c>
      <c r="AE88" s="140"/>
      <c r="AF88" s="138">
        <v>228</v>
      </c>
      <c r="AG88" s="138">
        <v>148.86333586876347</v>
      </c>
      <c r="AH88" s="138">
        <v>116.2538</v>
      </c>
    </row>
    <row r="89" spans="1:481">
      <c r="A89" s="150">
        <v>1.2</v>
      </c>
      <c r="B89" s="151" t="s">
        <v>5</v>
      </c>
      <c r="C89" s="134">
        <v>18</v>
      </c>
      <c r="D89" s="134">
        <v>24.537510000000001</v>
      </c>
      <c r="E89" s="134">
        <v>17.987508674531576</v>
      </c>
      <c r="F89" s="134">
        <v>24.934876936300412</v>
      </c>
      <c r="G89" s="138">
        <v>18.188859837740001</v>
      </c>
      <c r="H89" s="138">
        <v>28.697821690586576</v>
      </c>
      <c r="I89" s="138">
        <v>20.23124</v>
      </c>
      <c r="J89" s="152">
        <v>19.766851733717623</v>
      </c>
      <c r="K89" s="138">
        <v>24.105516666666666</v>
      </c>
      <c r="L89" s="134">
        <v>14.958448753462603</v>
      </c>
      <c r="M89" s="138">
        <v>27.557411273486426</v>
      </c>
      <c r="N89" s="138">
        <v>19.677090165927844</v>
      </c>
      <c r="O89" s="152">
        <v>16.049791066362314</v>
      </c>
      <c r="P89" s="152">
        <v>34.276946386326784</v>
      </c>
      <c r="Q89" s="138">
        <v>42.199274351102424</v>
      </c>
      <c r="R89" s="134">
        <v>31.492358933066839</v>
      </c>
      <c r="S89" s="138">
        <v>28.008228968693125</v>
      </c>
      <c r="T89" s="152">
        <v>22.205844879150391</v>
      </c>
      <c r="U89" s="138">
        <v>18</v>
      </c>
      <c r="V89" s="138">
        <v>22.831479999999999</v>
      </c>
      <c r="W89" s="138">
        <v>17.900552486187845</v>
      </c>
      <c r="X89" s="138">
        <v>20.111731843575416</v>
      </c>
      <c r="Y89" s="138">
        <v>24.016678248783876</v>
      </c>
      <c r="Z89" s="138">
        <v>18.560189999999999</v>
      </c>
      <c r="AA89" s="138">
        <v>18.52126969960473</v>
      </c>
      <c r="AB89" s="138" t="s">
        <v>519</v>
      </c>
      <c r="AC89" s="152">
        <v>29.565334408222618</v>
      </c>
      <c r="AD89" s="138">
        <v>17.534950426196708</v>
      </c>
      <c r="AE89" s="140"/>
      <c r="AF89" s="138">
        <v>38</v>
      </c>
      <c r="AG89" s="138">
        <v>17.700704221491876</v>
      </c>
      <c r="AH89" s="138">
        <v>29.084530000000001</v>
      </c>
    </row>
    <row r="90" spans="1:481">
      <c r="A90" s="150">
        <v>1.3</v>
      </c>
      <c r="B90" s="151" t="s">
        <v>6</v>
      </c>
      <c r="C90" s="134">
        <v>15</v>
      </c>
      <c r="D90" s="134">
        <v>29.186129999999999</v>
      </c>
      <c r="E90" s="134">
        <v>40.971547536433029</v>
      </c>
      <c r="F90" s="134">
        <v>20.487019647601095</v>
      </c>
      <c r="G90" s="138">
        <v>19.334951832341734</v>
      </c>
      <c r="H90" s="138">
        <v>24.460048151733186</v>
      </c>
      <c r="I90" s="138">
        <v>30.52505</v>
      </c>
      <c r="J90" s="152">
        <v>23.68667207751853</v>
      </c>
      <c r="K90" s="138">
        <v>13.922703333333335</v>
      </c>
      <c r="L90" s="134">
        <v>27</v>
      </c>
      <c r="M90" s="138">
        <v>33.068893528183715</v>
      </c>
      <c r="N90" s="138">
        <v>35.464943156202395</v>
      </c>
      <c r="O90" s="152">
        <v>12.358494510386571</v>
      </c>
      <c r="P90" s="152">
        <v>37.248531405332102</v>
      </c>
      <c r="Q90" s="138">
        <v>55.260954507396029</v>
      </c>
      <c r="R90" s="134">
        <v>10.832922260887619</v>
      </c>
      <c r="S90" s="138">
        <v>34.090357842552912</v>
      </c>
      <c r="T90" s="152">
        <v>25.29688835144043</v>
      </c>
      <c r="U90" s="138">
        <v>16</v>
      </c>
      <c r="V90" s="138">
        <v>29.286629999999999</v>
      </c>
      <c r="W90" s="138">
        <v>13.922651933701657</v>
      </c>
      <c r="X90" s="138">
        <v>23.128491620111738</v>
      </c>
      <c r="Y90" s="138">
        <v>22.015288394718553</v>
      </c>
      <c r="Z90" s="138">
        <v>17.22439</v>
      </c>
      <c r="AA90" s="138">
        <v>14.175667890160799</v>
      </c>
      <c r="AB90" s="234">
        <v>47.130919219530831</v>
      </c>
      <c r="AC90" s="152">
        <v>12.319639198480525</v>
      </c>
      <c r="AD90" s="138">
        <v>21.717390527853244</v>
      </c>
      <c r="AE90" s="140"/>
      <c r="AF90" s="138">
        <v>25</v>
      </c>
      <c r="AG90" s="138">
        <v>9.6314463561689294</v>
      </c>
      <c r="AH90" s="138">
        <v>22.165849999999999</v>
      </c>
    </row>
    <row r="91" spans="1:481">
      <c r="A91" s="150">
        <v>1.4</v>
      </c>
      <c r="B91" s="153" t="s">
        <v>7</v>
      </c>
      <c r="C91" s="134">
        <v>11</v>
      </c>
      <c r="D91" s="134">
        <v>0.5561161</v>
      </c>
      <c r="E91" s="134" t="s">
        <v>248</v>
      </c>
      <c r="F91" s="134">
        <v>15.813876648510819</v>
      </c>
      <c r="G91" s="138">
        <v>10.098466990483393</v>
      </c>
      <c r="H91" s="138">
        <v>0.99683503148697106</v>
      </c>
      <c r="I91" s="138" t="s">
        <v>248</v>
      </c>
      <c r="J91" s="152">
        <v>12.420541089384958</v>
      </c>
      <c r="K91" s="138">
        <v>9.4458649999999995</v>
      </c>
      <c r="L91" s="134">
        <v>15</v>
      </c>
      <c r="M91" s="138" t="s">
        <v>248</v>
      </c>
      <c r="N91" s="138" t="s">
        <v>248</v>
      </c>
      <c r="O91" s="152">
        <v>16.472275716390818</v>
      </c>
      <c r="P91" s="152"/>
      <c r="Q91" s="138">
        <v>9.0427016466648062</v>
      </c>
      <c r="R91" s="134">
        <v>4.5705890107905036</v>
      </c>
      <c r="S91" s="138">
        <v>12.52801143377136</v>
      </c>
      <c r="T91" s="152">
        <v>12.190747261047363</v>
      </c>
      <c r="U91" s="138">
        <v>12</v>
      </c>
      <c r="V91" s="138">
        <v>13.826840000000001</v>
      </c>
      <c r="W91" s="138">
        <v>7.9558011049723749</v>
      </c>
      <c r="X91" s="138">
        <v>9.050279329608939</v>
      </c>
      <c r="Y91" s="138">
        <v>19.013203613620568</v>
      </c>
      <c r="Z91" s="138">
        <v>8.6191270000000006</v>
      </c>
      <c r="AA91" s="138" t="s">
        <v>248</v>
      </c>
      <c r="AB91" s="234"/>
      <c r="AC91" s="152">
        <v>12.532156182627816</v>
      </c>
      <c r="AD91" s="138">
        <v>15.078580366493274</v>
      </c>
      <c r="AE91" s="140"/>
      <c r="AF91" s="138" t="s">
        <v>248</v>
      </c>
      <c r="AG91" s="138">
        <v>8.5081887940448393</v>
      </c>
      <c r="AH91" s="138">
        <v>13.070830000000001</v>
      </c>
    </row>
    <row r="92" spans="1:481">
      <c r="A92" s="150">
        <v>1.5</v>
      </c>
      <c r="B92" s="153" t="s">
        <v>8</v>
      </c>
      <c r="C92" s="134" t="s">
        <v>248</v>
      </c>
      <c r="D92" s="134">
        <v>0.73321519999999996</v>
      </c>
      <c r="E92" s="134">
        <v>0.99930603747397639</v>
      </c>
      <c r="F92" s="134">
        <v>1.0870326567240653</v>
      </c>
      <c r="G92" s="138" t="s">
        <v>248</v>
      </c>
      <c r="H92" s="138" t="s">
        <v>248</v>
      </c>
      <c r="I92" s="138" t="s">
        <v>248</v>
      </c>
      <c r="J92" s="152">
        <v>1.3238211161101436</v>
      </c>
      <c r="K92" s="138">
        <v>0.608483</v>
      </c>
      <c r="L92" s="134">
        <v>0.99722991689750695</v>
      </c>
      <c r="M92" s="138" t="s">
        <v>248</v>
      </c>
      <c r="N92" s="138" t="s">
        <v>248</v>
      </c>
      <c r="O92" s="152">
        <v>1.0583932826592659</v>
      </c>
      <c r="P92" s="152" t="s">
        <v>248</v>
      </c>
      <c r="Q92" s="138" t="s">
        <v>248</v>
      </c>
      <c r="R92" s="134" t="s">
        <v>248</v>
      </c>
      <c r="S92" s="138">
        <v>0.55872168975252379</v>
      </c>
      <c r="T92" s="152" t="s">
        <v>248</v>
      </c>
      <c r="U92" s="138" t="s">
        <v>248</v>
      </c>
      <c r="V92" s="138" t="s">
        <v>248</v>
      </c>
      <c r="W92" s="138" t="s">
        <v>248</v>
      </c>
      <c r="X92" s="138" t="s">
        <v>248</v>
      </c>
      <c r="Y92" s="138" t="s">
        <v>248</v>
      </c>
      <c r="Z92" s="138">
        <v>1.2085710000000001</v>
      </c>
      <c r="AA92" s="138" t="s">
        <v>248</v>
      </c>
      <c r="AB92" s="138" t="s">
        <v>520</v>
      </c>
      <c r="AC92" s="152">
        <v>1.3946777409385587</v>
      </c>
      <c r="AD92" s="138">
        <v>1.4308470347775322</v>
      </c>
      <c r="AE92" s="140"/>
      <c r="AF92" s="138" t="s">
        <v>248</v>
      </c>
      <c r="AG92" s="138" t="s">
        <v>248</v>
      </c>
      <c r="AH92" s="138" t="s">
        <v>248</v>
      </c>
    </row>
    <row r="93" spans="1:481">
      <c r="A93" s="150">
        <v>1.6</v>
      </c>
      <c r="B93" s="153" t="s">
        <v>9</v>
      </c>
      <c r="C93" s="134" t="s">
        <v>248</v>
      </c>
      <c r="D93" s="134">
        <v>0.94680019999999998</v>
      </c>
      <c r="E93" s="134" t="s">
        <v>248</v>
      </c>
      <c r="F93" s="134" t="s">
        <v>248</v>
      </c>
      <c r="G93" s="138" t="s">
        <v>248</v>
      </c>
      <c r="H93" s="138" t="s">
        <v>248</v>
      </c>
      <c r="I93" s="138">
        <v>2.1048110000000002</v>
      </c>
      <c r="J93" s="152">
        <v>0.16689271463788183</v>
      </c>
      <c r="K93" s="138">
        <v>2.8862966666666665</v>
      </c>
      <c r="L93" s="134"/>
      <c r="M93" s="138" t="s">
        <v>248</v>
      </c>
      <c r="N93" s="138" t="s">
        <v>248</v>
      </c>
      <c r="O93" s="152">
        <v>3.1325549243916102</v>
      </c>
      <c r="P93" s="152" t="s">
        <v>248</v>
      </c>
      <c r="Q93" s="138" t="s">
        <v>248</v>
      </c>
      <c r="R93" s="134" t="s">
        <v>248</v>
      </c>
      <c r="S93" s="138" t="s">
        <v>248</v>
      </c>
      <c r="T93" s="152" t="s">
        <v>248</v>
      </c>
      <c r="U93" s="138" t="s">
        <v>248</v>
      </c>
      <c r="V93" s="138">
        <v>4.5465020000000003</v>
      </c>
      <c r="W93" s="138" t="s">
        <v>248</v>
      </c>
      <c r="X93" s="138" t="s">
        <v>248</v>
      </c>
      <c r="Y93" s="138" t="s">
        <v>248</v>
      </c>
      <c r="Z93" s="138">
        <v>0</v>
      </c>
      <c r="AA93" s="138" t="s">
        <v>248</v>
      </c>
      <c r="AB93" s="138" t="s">
        <v>520</v>
      </c>
      <c r="AC93" s="152">
        <v>0.9539682428364632</v>
      </c>
      <c r="AD93" s="138">
        <v>0</v>
      </c>
      <c r="AE93" s="140"/>
      <c r="AF93" s="138" t="s">
        <v>248</v>
      </c>
      <c r="AG93" s="138" t="s">
        <v>248</v>
      </c>
      <c r="AH93" s="138">
        <v>14.45844</v>
      </c>
    </row>
    <row r="94" spans="1:481" s="149" customFormat="1">
      <c r="A94" s="145">
        <v>2</v>
      </c>
      <c r="B94" s="146" t="s">
        <v>10</v>
      </c>
      <c r="C94" s="171">
        <v>311</v>
      </c>
      <c r="D94" s="171">
        <v>269.171988</v>
      </c>
      <c r="E94" s="171">
        <v>250.82581540596806</v>
      </c>
      <c r="F94" s="171">
        <v>223.65640946944225</v>
      </c>
      <c r="G94" s="147">
        <v>242.80872090772155</v>
      </c>
      <c r="H94" s="147">
        <v>249.21239232687756</v>
      </c>
      <c r="I94" s="147">
        <v>235.76946800000002</v>
      </c>
      <c r="J94" s="154">
        <v>224.03084764937225</v>
      </c>
      <c r="K94" s="147">
        <v>242.27837483333332</v>
      </c>
      <c r="L94" s="171">
        <v>266</v>
      </c>
      <c r="M94" s="147">
        <v>268.05845511482255</v>
      </c>
      <c r="N94" s="147">
        <v>296.10578392549519</v>
      </c>
      <c r="O94" s="148">
        <v>306.33594118203092</v>
      </c>
      <c r="P94" s="148">
        <v>219.07299114856099</v>
      </c>
      <c r="Q94" s="147">
        <v>227.27323471950876</v>
      </c>
      <c r="R94" s="171">
        <v>253.25411262419991</v>
      </c>
      <c r="S94" s="147">
        <v>383.32616913920566</v>
      </c>
      <c r="T94" s="148">
        <v>254.25224304199219</v>
      </c>
      <c r="U94" s="147">
        <v>264</v>
      </c>
      <c r="V94" s="147">
        <v>227.40991700000001</v>
      </c>
      <c r="W94" s="147">
        <v>286.40883977900552</v>
      </c>
      <c r="X94" s="147">
        <v>328.15642458100558</v>
      </c>
      <c r="Y94" s="147">
        <v>286.19874913134117</v>
      </c>
      <c r="Z94" s="147">
        <v>289.1279055</v>
      </c>
      <c r="AA94" s="147">
        <v>206.50284838988759</v>
      </c>
      <c r="AB94" s="147">
        <v>308.85793872304401</v>
      </c>
      <c r="AC94" s="154">
        <v>248.63229019063292</v>
      </c>
      <c r="AD94" s="147">
        <v>243.17324291046077</v>
      </c>
      <c r="AE94" s="221"/>
      <c r="AF94" s="147">
        <v>234</v>
      </c>
      <c r="AG94" s="147">
        <v>351.93530639285547</v>
      </c>
      <c r="AH94" s="147">
        <v>249.5884149</v>
      </c>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6"/>
      <c r="CC94" s="86"/>
      <c r="CD94" s="86"/>
      <c r="CE94" s="86"/>
      <c r="CF94" s="86"/>
      <c r="CG94" s="86"/>
      <c r="CH94" s="86"/>
      <c r="CI94" s="86"/>
      <c r="CJ94" s="86"/>
      <c r="CK94" s="86"/>
      <c r="CL94" s="86"/>
      <c r="CM94" s="86"/>
      <c r="CN94" s="86"/>
      <c r="CO94" s="86"/>
      <c r="CP94" s="86"/>
      <c r="CQ94" s="86"/>
      <c r="CR94" s="86"/>
      <c r="CS94" s="86"/>
      <c r="CT94" s="86"/>
      <c r="CU94" s="86"/>
      <c r="CV94" s="86"/>
      <c r="CW94" s="86"/>
      <c r="CX94" s="86"/>
      <c r="CY94" s="86"/>
      <c r="CZ94" s="86"/>
      <c r="DA94" s="86"/>
      <c r="DB94" s="86"/>
      <c r="DC94" s="86"/>
      <c r="DD94" s="86"/>
      <c r="DE94" s="86"/>
      <c r="DF94" s="86"/>
      <c r="DG94" s="86"/>
      <c r="DH94" s="86"/>
      <c r="DI94" s="86"/>
      <c r="DJ94" s="86"/>
      <c r="DK94" s="86"/>
      <c r="DL94" s="86"/>
      <c r="DM94" s="86"/>
      <c r="DN94" s="86"/>
      <c r="DO94" s="86"/>
      <c r="DP94" s="86"/>
      <c r="DQ94" s="86"/>
      <c r="DR94" s="86"/>
      <c r="DS94" s="86"/>
      <c r="DT94" s="86"/>
      <c r="DU94" s="86"/>
      <c r="DV94" s="86"/>
      <c r="DW94" s="86"/>
      <c r="DX94" s="86"/>
      <c r="DY94" s="86"/>
      <c r="DZ94" s="86"/>
      <c r="EA94" s="86"/>
      <c r="EB94" s="86"/>
      <c r="EC94" s="86"/>
      <c r="ED94" s="86"/>
      <c r="EE94" s="86"/>
      <c r="EF94" s="86"/>
      <c r="EG94" s="86"/>
      <c r="EH94" s="86"/>
      <c r="EI94" s="86"/>
      <c r="EJ94" s="86"/>
      <c r="EK94" s="86"/>
      <c r="EL94" s="86"/>
      <c r="EM94" s="86"/>
      <c r="EN94" s="86"/>
      <c r="EO94" s="86"/>
      <c r="EP94" s="86"/>
      <c r="EQ94" s="86"/>
      <c r="ER94" s="86"/>
      <c r="ES94" s="86"/>
      <c r="ET94" s="86"/>
      <c r="EU94" s="86"/>
      <c r="EV94" s="86"/>
      <c r="EW94" s="86"/>
      <c r="EX94" s="86"/>
      <c r="EY94" s="86"/>
      <c r="EZ94" s="86"/>
      <c r="FA94" s="86"/>
      <c r="FB94" s="86"/>
      <c r="FC94" s="86"/>
      <c r="FD94" s="86"/>
      <c r="FE94" s="86"/>
      <c r="FF94" s="86"/>
      <c r="FG94" s="86"/>
      <c r="FH94" s="86"/>
      <c r="FI94" s="86"/>
      <c r="FJ94" s="86"/>
      <c r="FK94" s="86"/>
      <c r="FL94" s="86"/>
      <c r="FM94" s="86"/>
      <c r="FN94" s="86"/>
      <c r="FO94" s="86"/>
      <c r="FP94" s="86"/>
      <c r="FQ94" s="86"/>
      <c r="FR94" s="86"/>
      <c r="FS94" s="86"/>
      <c r="FT94" s="86"/>
      <c r="FU94" s="86"/>
      <c r="FV94" s="86"/>
      <c r="FW94" s="86"/>
      <c r="FX94" s="86"/>
      <c r="FY94" s="86"/>
      <c r="FZ94" s="86"/>
      <c r="GA94" s="86"/>
      <c r="GB94" s="86"/>
      <c r="GC94" s="86"/>
      <c r="GD94" s="86"/>
      <c r="GE94" s="86"/>
      <c r="GF94" s="86"/>
      <c r="GG94" s="86"/>
      <c r="GH94" s="86"/>
      <c r="GI94" s="86"/>
      <c r="GJ94" s="86"/>
      <c r="GK94" s="86"/>
      <c r="GL94" s="86"/>
      <c r="GM94" s="86"/>
      <c r="GN94" s="86"/>
      <c r="GO94" s="86"/>
      <c r="GP94" s="86"/>
      <c r="GQ94" s="86"/>
      <c r="GR94" s="86"/>
      <c r="GS94" s="86"/>
      <c r="GT94" s="86"/>
      <c r="GU94" s="86"/>
      <c r="GV94" s="86"/>
      <c r="GW94" s="86"/>
      <c r="GX94" s="86"/>
      <c r="GY94" s="86"/>
      <c r="GZ94" s="86"/>
      <c r="HA94" s="86"/>
      <c r="HB94" s="86"/>
      <c r="HC94" s="86"/>
      <c r="HD94" s="86"/>
      <c r="HE94" s="86"/>
      <c r="HF94" s="86"/>
      <c r="HG94" s="86"/>
      <c r="HH94" s="86"/>
      <c r="HI94" s="86"/>
      <c r="HJ94" s="86"/>
      <c r="HK94" s="86"/>
      <c r="HL94" s="86"/>
      <c r="HM94" s="86"/>
      <c r="HN94" s="86"/>
      <c r="HO94" s="86"/>
      <c r="HP94" s="86"/>
      <c r="HQ94" s="86"/>
      <c r="HR94" s="86"/>
      <c r="HS94" s="86"/>
      <c r="HT94" s="86"/>
      <c r="HU94" s="86"/>
      <c r="HV94" s="86"/>
      <c r="HW94" s="86"/>
      <c r="HX94" s="86"/>
      <c r="HY94" s="86"/>
      <c r="HZ94" s="86"/>
      <c r="IA94" s="86"/>
      <c r="IB94" s="86"/>
      <c r="IC94" s="86"/>
      <c r="ID94" s="86"/>
      <c r="IE94" s="86"/>
      <c r="IF94" s="86"/>
      <c r="IG94" s="86"/>
      <c r="IH94" s="86"/>
      <c r="II94" s="86"/>
      <c r="IJ94" s="86"/>
      <c r="IK94" s="86"/>
      <c r="IL94" s="86"/>
      <c r="IM94" s="86"/>
      <c r="IN94" s="86"/>
      <c r="IO94" s="86"/>
      <c r="IP94" s="86"/>
      <c r="IQ94" s="86"/>
      <c r="IR94" s="86"/>
      <c r="IS94" s="86"/>
      <c r="IT94" s="86"/>
      <c r="IU94" s="86"/>
      <c r="IV94" s="86"/>
      <c r="IW94" s="86"/>
      <c r="IX94" s="86"/>
      <c r="IY94" s="86"/>
      <c r="IZ94" s="86"/>
      <c r="JA94" s="86"/>
      <c r="JB94" s="86"/>
      <c r="JC94" s="86"/>
      <c r="JD94" s="86"/>
      <c r="JE94" s="86"/>
      <c r="JF94" s="86"/>
      <c r="JG94" s="86"/>
      <c r="JH94" s="86"/>
      <c r="JI94" s="86"/>
      <c r="JJ94" s="86"/>
      <c r="JK94" s="86"/>
      <c r="JL94" s="86"/>
      <c r="JM94" s="86"/>
      <c r="JN94" s="86"/>
      <c r="JO94" s="86"/>
      <c r="JP94" s="86"/>
      <c r="JQ94" s="86"/>
      <c r="JR94" s="86"/>
      <c r="JS94" s="86"/>
      <c r="JT94" s="86"/>
      <c r="JU94" s="86"/>
      <c r="JV94" s="86"/>
      <c r="JW94" s="86"/>
      <c r="JX94" s="86"/>
      <c r="JY94" s="86"/>
      <c r="JZ94" s="86"/>
      <c r="KA94" s="86"/>
      <c r="KB94" s="86"/>
      <c r="KC94" s="86"/>
      <c r="KD94" s="86"/>
      <c r="KE94" s="86"/>
      <c r="KF94" s="86"/>
      <c r="KG94" s="86"/>
      <c r="KH94" s="86"/>
      <c r="KI94" s="86"/>
      <c r="KJ94" s="86"/>
      <c r="KK94" s="86"/>
      <c r="KL94" s="86"/>
      <c r="KM94" s="86"/>
      <c r="KN94" s="86"/>
      <c r="KO94" s="86"/>
      <c r="KP94" s="86"/>
      <c r="KQ94" s="86"/>
      <c r="KR94" s="86"/>
      <c r="KS94" s="86"/>
      <c r="KT94" s="86"/>
      <c r="KU94" s="86"/>
      <c r="KV94" s="86"/>
      <c r="KW94" s="86"/>
      <c r="KX94" s="86"/>
      <c r="KY94" s="86"/>
      <c r="KZ94" s="86"/>
      <c r="LA94" s="86"/>
      <c r="LB94" s="86"/>
      <c r="LC94" s="86"/>
      <c r="LD94" s="86"/>
      <c r="LE94" s="86"/>
      <c r="LF94" s="86"/>
      <c r="LG94" s="86"/>
      <c r="LH94" s="86"/>
      <c r="LI94" s="86"/>
      <c r="LJ94" s="86"/>
      <c r="LK94" s="86"/>
      <c r="LL94" s="86"/>
      <c r="LM94" s="86"/>
      <c r="LN94" s="86"/>
      <c r="LO94" s="86"/>
      <c r="LP94" s="86"/>
      <c r="LQ94" s="86"/>
      <c r="LR94" s="86"/>
      <c r="LS94" s="86"/>
      <c r="LT94" s="86"/>
      <c r="LU94" s="86"/>
      <c r="LV94" s="86"/>
      <c r="LW94" s="86"/>
      <c r="LX94" s="86"/>
      <c r="LY94" s="86"/>
      <c r="LZ94" s="86"/>
      <c r="MA94" s="86"/>
      <c r="MB94" s="86"/>
      <c r="MC94" s="86"/>
      <c r="MD94" s="86"/>
      <c r="ME94" s="86"/>
      <c r="MF94" s="86"/>
      <c r="MG94" s="86"/>
      <c r="MH94" s="86"/>
      <c r="MI94" s="86"/>
      <c r="MJ94" s="86"/>
      <c r="MK94" s="86"/>
      <c r="ML94" s="86"/>
      <c r="MM94" s="86"/>
      <c r="MN94" s="86"/>
      <c r="MO94" s="86"/>
      <c r="MP94" s="86"/>
      <c r="MQ94" s="86"/>
      <c r="MR94" s="86"/>
      <c r="MS94" s="86"/>
      <c r="MT94" s="86"/>
      <c r="MU94" s="86"/>
      <c r="MV94" s="86"/>
      <c r="MW94" s="86"/>
      <c r="MX94" s="86"/>
      <c r="MY94" s="86"/>
      <c r="MZ94" s="86"/>
      <c r="NA94" s="86"/>
      <c r="NB94" s="86"/>
      <c r="NC94" s="86"/>
      <c r="ND94" s="86"/>
      <c r="NE94" s="86"/>
      <c r="NF94" s="86"/>
      <c r="NG94" s="86"/>
      <c r="NH94" s="86"/>
      <c r="NI94" s="86"/>
      <c r="NJ94" s="86"/>
      <c r="NK94" s="86"/>
      <c r="NL94" s="86"/>
      <c r="NM94" s="86"/>
      <c r="NN94" s="86"/>
      <c r="NO94" s="86"/>
      <c r="NP94" s="86"/>
      <c r="NQ94" s="86"/>
      <c r="NR94" s="86"/>
      <c r="NS94" s="86"/>
      <c r="NT94" s="86"/>
      <c r="NU94" s="86"/>
      <c r="NV94" s="86"/>
      <c r="NW94" s="86"/>
      <c r="NX94" s="86"/>
      <c r="NY94" s="86"/>
      <c r="NZ94" s="86"/>
      <c r="OA94" s="86"/>
      <c r="OB94" s="86"/>
      <c r="OC94" s="86"/>
      <c r="OD94" s="86"/>
      <c r="OE94" s="86"/>
      <c r="OF94" s="86"/>
      <c r="OG94" s="86"/>
      <c r="OH94" s="86"/>
      <c r="OI94" s="86"/>
      <c r="OJ94" s="86"/>
      <c r="OK94" s="86"/>
      <c r="OL94" s="86"/>
      <c r="OM94" s="86"/>
      <c r="ON94" s="86"/>
      <c r="OO94" s="86"/>
      <c r="OP94" s="86"/>
      <c r="OQ94" s="86"/>
      <c r="OR94" s="86"/>
      <c r="OS94" s="86"/>
      <c r="OT94" s="86"/>
      <c r="OU94" s="86"/>
      <c r="OV94" s="86"/>
      <c r="OW94" s="86"/>
      <c r="OX94" s="86"/>
      <c r="OY94" s="86"/>
      <c r="OZ94" s="86"/>
      <c r="PA94" s="86"/>
      <c r="PB94" s="86"/>
      <c r="PC94" s="86"/>
      <c r="PD94" s="86"/>
      <c r="PE94" s="86"/>
      <c r="PF94" s="86"/>
      <c r="PG94" s="86"/>
      <c r="PH94" s="86"/>
      <c r="PI94" s="86"/>
      <c r="PJ94" s="86"/>
      <c r="PK94" s="86"/>
      <c r="PL94" s="86"/>
      <c r="PM94" s="86"/>
      <c r="PN94" s="86"/>
      <c r="PO94" s="86"/>
      <c r="PP94" s="86"/>
      <c r="PQ94" s="86"/>
      <c r="PR94" s="86"/>
      <c r="PS94" s="86"/>
      <c r="PT94" s="86"/>
      <c r="PU94" s="86"/>
      <c r="PV94" s="86"/>
      <c r="PW94" s="86"/>
      <c r="PX94" s="86"/>
      <c r="PY94" s="86"/>
      <c r="PZ94" s="86"/>
      <c r="QA94" s="86"/>
      <c r="QB94" s="86"/>
      <c r="QC94" s="86"/>
      <c r="QD94" s="86"/>
      <c r="QE94" s="86"/>
      <c r="QF94" s="86"/>
      <c r="QG94" s="86"/>
      <c r="QH94" s="86"/>
      <c r="QI94" s="86"/>
      <c r="QJ94" s="86"/>
      <c r="QK94" s="86"/>
      <c r="QL94" s="86"/>
      <c r="QM94" s="86"/>
      <c r="QN94" s="86"/>
      <c r="QO94" s="86"/>
      <c r="QP94" s="86"/>
      <c r="QQ94" s="86"/>
      <c r="QR94" s="86"/>
      <c r="QS94" s="86"/>
      <c r="QT94" s="86"/>
      <c r="QU94" s="86"/>
      <c r="QV94" s="86"/>
      <c r="QW94" s="86"/>
      <c r="QX94" s="86"/>
      <c r="QY94" s="86"/>
      <c r="QZ94" s="86"/>
      <c r="RA94" s="86"/>
      <c r="RB94" s="86"/>
      <c r="RC94" s="86"/>
      <c r="RD94" s="86"/>
      <c r="RE94" s="86"/>
      <c r="RF94" s="86"/>
      <c r="RG94" s="86"/>
      <c r="RH94" s="86"/>
      <c r="RI94" s="86"/>
      <c r="RJ94" s="86"/>
      <c r="RK94" s="86"/>
      <c r="RL94" s="86"/>
      <c r="RM94" s="86"/>
    </row>
    <row r="95" spans="1:481">
      <c r="A95" s="150">
        <v>2.1</v>
      </c>
      <c r="B95" s="151" t="s">
        <v>11</v>
      </c>
      <c r="C95" s="134">
        <v>168</v>
      </c>
      <c r="D95" s="134">
        <v>169.8544</v>
      </c>
      <c r="E95" s="134">
        <v>158.88965995836224</v>
      </c>
      <c r="F95" s="134">
        <v>133.90981421331688</v>
      </c>
      <c r="G95" s="138">
        <v>145.03308450641524</v>
      </c>
      <c r="H95" s="138">
        <v>146.94880009055223</v>
      </c>
      <c r="I95" s="138">
        <v>134.0736</v>
      </c>
      <c r="J95" s="152">
        <v>157.46651381112545</v>
      </c>
      <c r="K95" s="138">
        <v>138.74393333333333</v>
      </c>
      <c r="L95" s="134">
        <v>198.44875346260386</v>
      </c>
      <c r="M95" s="138">
        <v>186.38830897703548</v>
      </c>
      <c r="N95" s="138">
        <v>135.27048685495944</v>
      </c>
      <c r="O95" s="152">
        <v>204.98650448125591</v>
      </c>
      <c r="P95" s="152">
        <v>140.57236649743496</v>
      </c>
      <c r="Q95" s="138">
        <v>137.65001395478649</v>
      </c>
      <c r="R95" s="134">
        <v>170.35072609535362</v>
      </c>
      <c r="S95" s="138">
        <v>273.16851326929742</v>
      </c>
      <c r="T95" s="152">
        <v>133.95622253417969</v>
      </c>
      <c r="U95" s="138">
        <v>142</v>
      </c>
      <c r="V95" s="138">
        <v>113.961</v>
      </c>
      <c r="W95" s="138">
        <v>183.97790055248618</v>
      </c>
      <c r="X95" s="138">
        <v>253.40782122905028</v>
      </c>
      <c r="Y95" s="138">
        <v>212.14732453092427</v>
      </c>
      <c r="Z95" s="138">
        <v>163.41370000000001</v>
      </c>
      <c r="AA95" s="138">
        <v>94.77433035284065</v>
      </c>
      <c r="AB95" s="138">
        <v>206.05584553403506</v>
      </c>
      <c r="AC95" s="152">
        <v>132.42945020007795</v>
      </c>
      <c r="AD95" s="138">
        <v>126.9875030865018</v>
      </c>
      <c r="AE95" s="140"/>
      <c r="AF95" s="138">
        <v>155</v>
      </c>
      <c r="AG95" s="138">
        <v>298.2454985666771</v>
      </c>
      <c r="AH95" s="138">
        <v>183.36439999999999</v>
      </c>
    </row>
    <row r="96" spans="1:481">
      <c r="A96" s="150">
        <v>2.2000000000000002</v>
      </c>
      <c r="B96" s="151" t="s">
        <v>12</v>
      </c>
      <c r="C96" s="134">
        <v>36.000000000000007</v>
      </c>
      <c r="D96" s="134">
        <v>25.712299999999999</v>
      </c>
      <c r="E96" s="134">
        <v>25.981956974323388</v>
      </c>
      <c r="F96" s="134">
        <v>29.293424819405949</v>
      </c>
      <c r="G96" s="138">
        <v>29.69169137925951</v>
      </c>
      <c r="H96" s="138">
        <v>27.473366051831107</v>
      </c>
      <c r="I96" s="138">
        <v>29.00656</v>
      </c>
      <c r="J96" s="152">
        <v>25.634112248325259</v>
      </c>
      <c r="K96" s="138">
        <v>37.056550000000001</v>
      </c>
      <c r="L96" s="134">
        <v>17.950138504155127</v>
      </c>
      <c r="M96" s="138">
        <v>26.054279749478081</v>
      </c>
      <c r="N96" s="138">
        <v>39.857641764672572</v>
      </c>
      <c r="O96" s="152">
        <v>32.418981208975531</v>
      </c>
      <c r="P96" s="152">
        <v>33.757077164349695</v>
      </c>
      <c r="Q96" s="138">
        <v>20.094892548144013</v>
      </c>
      <c r="R96" s="134">
        <v>20.396676396712447</v>
      </c>
      <c r="S96" s="138">
        <v>17.445344560355863</v>
      </c>
      <c r="T96" s="152">
        <v>37.322544097900391</v>
      </c>
      <c r="U96" s="138">
        <v>30</v>
      </c>
      <c r="V96" s="138">
        <v>26.09468</v>
      </c>
      <c r="W96" s="138">
        <v>30.828729281767956</v>
      </c>
      <c r="X96" s="138">
        <v>19.106145251396647</v>
      </c>
      <c r="Y96" s="138">
        <v>20.01389854065323</v>
      </c>
      <c r="Z96" s="138">
        <v>31.0425</v>
      </c>
      <c r="AA96" s="138">
        <v>16.430331200480222</v>
      </c>
      <c r="AB96" s="138">
        <v>13.183655978479532</v>
      </c>
      <c r="AC96" s="152">
        <v>35.507962690629235</v>
      </c>
      <c r="AD96" s="138">
        <v>26.902100653870505</v>
      </c>
      <c r="AE96" s="140"/>
      <c r="AF96" s="138">
        <v>25</v>
      </c>
      <c r="AG96" s="138">
        <v>8.9252060760673242</v>
      </c>
      <c r="AH96" s="138">
        <v>10.733650000000001</v>
      </c>
    </row>
    <row r="97" spans="1:481">
      <c r="A97" s="150">
        <v>2.2999999999999998</v>
      </c>
      <c r="B97" s="155" t="s">
        <v>13</v>
      </c>
      <c r="C97" s="134">
        <v>63.500000000000007</v>
      </c>
      <c r="D97" s="134">
        <v>47</v>
      </c>
      <c r="E97" s="134">
        <v>27.980569049271338</v>
      </c>
      <c r="F97" s="134">
        <v>39.139979977046977</v>
      </c>
      <c r="G97" s="138">
        <v>35.435034878393338</v>
      </c>
      <c r="H97" s="138">
        <v>42</v>
      </c>
      <c r="I97" s="138">
        <v>32.157617000000002</v>
      </c>
      <c r="J97" s="152">
        <v>30.000002631250201</v>
      </c>
      <c r="K97" s="138">
        <v>26.358883166666665</v>
      </c>
      <c r="L97" s="134">
        <v>21</v>
      </c>
      <c r="M97" s="138">
        <v>28.05845511482255</v>
      </c>
      <c r="N97" s="138">
        <v>94.332096509744858</v>
      </c>
      <c r="O97" s="152">
        <v>35.469467160980038</v>
      </c>
      <c r="P97" s="152" t="s">
        <v>248</v>
      </c>
      <c r="Q97" s="138">
        <v>48.227742115545631</v>
      </c>
      <c r="R97" s="134">
        <v>25</v>
      </c>
      <c r="S97" s="138">
        <v>58.728284522939987</v>
      </c>
      <c r="T97" s="152">
        <v>41.674427032470703</v>
      </c>
      <c r="U97" s="138">
        <v>44</v>
      </c>
      <c r="V97" s="138">
        <v>34</v>
      </c>
      <c r="W97" s="138">
        <v>46.740331491712709</v>
      </c>
      <c r="X97" s="138">
        <v>26.145251396648046</v>
      </c>
      <c r="Y97" s="138">
        <v>30.020847810979845</v>
      </c>
      <c r="Z97" s="138">
        <v>45</v>
      </c>
      <c r="AA97" s="138">
        <v>25.132095786790387</v>
      </c>
      <c r="AB97" s="138">
        <v>38.476375929761929</v>
      </c>
      <c r="AC97" s="152">
        <v>46.765517432258342</v>
      </c>
      <c r="AD97" s="138">
        <v>42.104141023364541</v>
      </c>
      <c r="AE97" s="140"/>
      <c r="AF97" s="138">
        <v>33</v>
      </c>
      <c r="AG97" s="138">
        <v>37.082322597102525</v>
      </c>
      <c r="AH97" s="138">
        <v>30</v>
      </c>
    </row>
    <row r="98" spans="1:481">
      <c r="A98" s="150" t="s">
        <v>0</v>
      </c>
      <c r="B98" s="155" t="s">
        <v>14</v>
      </c>
      <c r="C98" s="134" t="s">
        <v>248</v>
      </c>
      <c r="D98" s="134">
        <v>44.985590000000002</v>
      </c>
      <c r="E98" s="134">
        <v>28</v>
      </c>
      <c r="F98" s="134">
        <v>37.136023038114473</v>
      </c>
      <c r="G98" s="138" t="s">
        <v>248</v>
      </c>
      <c r="H98" s="138">
        <v>41.816500042782636</v>
      </c>
      <c r="I98" s="138">
        <v>30.957789999999999</v>
      </c>
      <c r="J98" s="152">
        <v>29.133492555250072</v>
      </c>
      <c r="K98" s="138">
        <v>25.381916666666665</v>
      </c>
      <c r="L98" s="134">
        <v>17.950138504155127</v>
      </c>
      <c r="M98" s="138">
        <v>28</v>
      </c>
      <c r="N98" s="138" t="s">
        <v>248</v>
      </c>
      <c r="O98" s="152">
        <v>32.745228627540328</v>
      </c>
      <c r="P98" s="152">
        <v>35.90409611653066</v>
      </c>
      <c r="Q98" s="138" t="s">
        <v>248</v>
      </c>
      <c r="R98" s="134">
        <v>24.501495823319388</v>
      </c>
      <c r="S98" s="138">
        <v>51.058955114954124</v>
      </c>
      <c r="T98" s="152">
        <v>38.302528381347656</v>
      </c>
      <c r="U98" s="138">
        <v>44</v>
      </c>
      <c r="V98" s="138">
        <v>34.342750000000002</v>
      </c>
      <c r="W98" s="138">
        <v>44.751381215469614</v>
      </c>
      <c r="X98" s="138" t="s">
        <v>248</v>
      </c>
      <c r="Y98" s="138">
        <v>30</v>
      </c>
      <c r="Z98" s="138">
        <v>41.895780000000002</v>
      </c>
      <c r="AA98" s="138">
        <v>21.109535585587022</v>
      </c>
      <c r="AB98" s="138">
        <v>36.221790591311965</v>
      </c>
      <c r="AC98" s="152">
        <v>37.342112782946046</v>
      </c>
      <c r="AD98" s="138">
        <v>39.901010969816241</v>
      </c>
      <c r="AE98" s="140"/>
      <c r="AF98" s="138" t="s">
        <v>248</v>
      </c>
      <c r="AG98" s="138" t="s">
        <v>248</v>
      </c>
      <c r="AH98" s="138">
        <v>28.775390000000002</v>
      </c>
    </row>
    <row r="99" spans="1:481">
      <c r="A99" s="150" t="s">
        <v>1</v>
      </c>
      <c r="B99" s="155" t="s">
        <v>15</v>
      </c>
      <c r="C99" s="134" t="s">
        <v>248</v>
      </c>
      <c r="D99" s="134">
        <v>1.7997700000000001</v>
      </c>
      <c r="E99" s="134" t="s">
        <v>248</v>
      </c>
      <c r="F99" s="134">
        <v>2.0429935492188416</v>
      </c>
      <c r="G99" s="138" t="s">
        <v>248</v>
      </c>
      <c r="H99" s="138" t="s">
        <v>248</v>
      </c>
      <c r="I99" s="138">
        <v>1.199827</v>
      </c>
      <c r="J99" s="152">
        <v>0.96935798502077319</v>
      </c>
      <c r="K99" s="138">
        <v>0.97696649999999996</v>
      </c>
      <c r="L99" s="134">
        <v>3</v>
      </c>
      <c r="M99" s="138" t="s">
        <v>248</v>
      </c>
      <c r="N99" s="138" t="s">
        <v>248</v>
      </c>
      <c r="O99" s="152">
        <v>2.7242305236826163</v>
      </c>
      <c r="P99" s="152">
        <v>5.28922676164908</v>
      </c>
      <c r="Q99" s="138" t="s">
        <v>248</v>
      </c>
      <c r="R99" s="134" t="s">
        <v>248</v>
      </c>
      <c r="S99" s="138">
        <v>7.6693294079858534</v>
      </c>
      <c r="T99" s="152">
        <v>3.3719007968902588</v>
      </c>
      <c r="U99" s="138" t="s">
        <v>248</v>
      </c>
      <c r="V99" s="138">
        <v>0</v>
      </c>
      <c r="W99" s="138">
        <v>1.9889502762430937</v>
      </c>
      <c r="X99" s="138" t="s">
        <v>248</v>
      </c>
      <c r="Y99" s="138" t="s">
        <v>248</v>
      </c>
      <c r="Z99" s="138">
        <v>3.494494</v>
      </c>
      <c r="AA99" s="138">
        <v>4.0225602012033654</v>
      </c>
      <c r="AB99" s="138">
        <v>2.2545853384499654</v>
      </c>
      <c r="AC99" s="152">
        <v>9.4234046493123014</v>
      </c>
      <c r="AD99" s="138">
        <v>2.1900380532300914</v>
      </c>
      <c r="AE99" s="140"/>
      <c r="AF99" s="138" t="s">
        <v>248</v>
      </c>
      <c r="AG99" s="138" t="s">
        <v>248</v>
      </c>
      <c r="AH99" s="138">
        <v>1.381982</v>
      </c>
    </row>
    <row r="100" spans="1:481">
      <c r="A100" s="150">
        <v>2.4</v>
      </c>
      <c r="B100" s="155" t="s">
        <v>16</v>
      </c>
      <c r="C100" s="134" t="s">
        <v>248</v>
      </c>
      <c r="D100" s="134">
        <v>1.2100390000000001</v>
      </c>
      <c r="E100" s="134" t="s">
        <v>248</v>
      </c>
      <c r="F100" s="134">
        <v>5.4711058283100185</v>
      </c>
      <c r="G100" s="138">
        <v>8.5649721815693898</v>
      </c>
      <c r="H100" s="138">
        <v>7.9318551323522968</v>
      </c>
      <c r="I100" s="138">
        <v>4.8553189999999997</v>
      </c>
      <c r="J100" s="152">
        <v>3.0886942709042264</v>
      </c>
      <c r="K100" s="138">
        <v>6.8912333333333331</v>
      </c>
      <c r="L100" s="134">
        <v>7.9778393351800556</v>
      </c>
      <c r="M100" s="138" t="s">
        <v>248</v>
      </c>
      <c r="N100" s="138" t="s">
        <v>248</v>
      </c>
      <c r="O100" s="152">
        <v>8.3088103842936363</v>
      </c>
      <c r="P100" s="152"/>
      <c r="Q100" s="138">
        <v>1.0047446274072007</v>
      </c>
      <c r="R100" s="134">
        <v>10.179261082466173</v>
      </c>
      <c r="S100" s="138">
        <v>19.01196269841283</v>
      </c>
      <c r="T100" s="152" t="s">
        <v>248</v>
      </c>
      <c r="U100" s="138">
        <v>9</v>
      </c>
      <c r="V100" s="138">
        <v>0</v>
      </c>
      <c r="W100" s="138">
        <v>10.939226519337016</v>
      </c>
      <c r="X100" s="138">
        <v>10.055865921787708</v>
      </c>
      <c r="Y100" s="138">
        <v>5.0034746351633075</v>
      </c>
      <c r="Z100" s="138">
        <v>7.9897919999999996</v>
      </c>
      <c r="AA100" s="138" t="s">
        <v>248</v>
      </c>
      <c r="AB100" s="234">
        <v>51.142061280767493</v>
      </c>
      <c r="AC100" s="152">
        <v>8.118703308411197</v>
      </c>
      <c r="AD100" s="138">
        <v>6.2011031507212575</v>
      </c>
      <c r="AE100" s="140"/>
      <c r="AF100" s="138">
        <v>2</v>
      </c>
      <c r="AG100" s="138">
        <v>1.2326431314389206</v>
      </c>
      <c r="AH100" s="138">
        <v>0.92404090000000005</v>
      </c>
    </row>
    <row r="101" spans="1:481">
      <c r="A101" s="150">
        <v>2.5</v>
      </c>
      <c r="B101" s="155" t="s">
        <v>17</v>
      </c>
      <c r="C101" s="134">
        <v>7.5</v>
      </c>
      <c r="D101" s="134">
        <v>3.0333839999999999</v>
      </c>
      <c r="E101" s="134">
        <v>5.9958362248438579</v>
      </c>
      <c r="F101" s="134">
        <v>4</v>
      </c>
      <c r="G101" s="138">
        <v>1.6658599957815678</v>
      </c>
      <c r="H101" s="138">
        <v>0</v>
      </c>
      <c r="I101" s="138">
        <v>3.0340039999999999</v>
      </c>
      <c r="J101" s="152" t="s">
        <v>248</v>
      </c>
      <c r="K101" s="138">
        <v>5.1910749999999997</v>
      </c>
      <c r="L101" s="134">
        <v>0</v>
      </c>
      <c r="M101" s="138">
        <v>0</v>
      </c>
      <c r="N101" s="138">
        <v>6.9684686301904595</v>
      </c>
      <c r="O101" s="152">
        <v>2.1858587056037804</v>
      </c>
      <c r="P101" s="152">
        <v>3.5502246085962628</v>
      </c>
      <c r="Q101" s="138">
        <v>1.2056935528886408</v>
      </c>
      <c r="R101" s="134">
        <v>0</v>
      </c>
      <c r="S101" s="138">
        <v>2.0103913634248607</v>
      </c>
      <c r="T101" s="152">
        <v>21.336387634277344</v>
      </c>
      <c r="U101" s="138">
        <v>6</v>
      </c>
      <c r="V101" s="138">
        <v>6.0178370000000001</v>
      </c>
      <c r="W101" s="138">
        <v>13.922651933701657</v>
      </c>
      <c r="X101" s="138">
        <v>2.011173184357542</v>
      </c>
      <c r="Y101" s="138">
        <v>0</v>
      </c>
      <c r="Z101" s="138">
        <v>0.80522349999999998</v>
      </c>
      <c r="AA101" s="138" t="s">
        <v>248</v>
      </c>
      <c r="AB101" s="234"/>
      <c r="AC101" s="152">
        <v>3</v>
      </c>
      <c r="AD101" s="138">
        <v>7.0218911706709655</v>
      </c>
      <c r="AE101" s="140"/>
      <c r="AF101" s="138">
        <v>1</v>
      </c>
      <c r="AG101" s="138">
        <v>0.16641100585494642</v>
      </c>
      <c r="AH101" s="138">
        <v>1.581572</v>
      </c>
    </row>
    <row r="102" spans="1:481">
      <c r="A102" s="150">
        <v>2.6</v>
      </c>
      <c r="B102" s="153" t="s">
        <v>18</v>
      </c>
      <c r="C102" s="134">
        <v>36</v>
      </c>
      <c r="D102" s="134">
        <v>20.52328</v>
      </c>
      <c r="E102" s="134">
        <v>31.977793199167245</v>
      </c>
      <c r="F102" s="134">
        <v>11.982072608757921</v>
      </c>
      <c r="G102" s="138">
        <v>22.418077966302516</v>
      </c>
      <c r="H102" s="138">
        <v>24.858371052141933</v>
      </c>
      <c r="I102" s="138">
        <v>22.795339999999999</v>
      </c>
      <c r="J102" s="152">
        <v>6.9751636117799753</v>
      </c>
      <c r="K102" s="138">
        <v>23.67305</v>
      </c>
      <c r="L102" s="134">
        <v>20.941828254847646</v>
      </c>
      <c r="M102" s="138">
        <v>27.557411273486426</v>
      </c>
      <c r="N102" s="138">
        <v>19.677090165927844</v>
      </c>
      <c r="O102" s="152">
        <v>22.864462363882282</v>
      </c>
      <c r="P102" s="152" t="s">
        <v>46</v>
      </c>
      <c r="Q102" s="138">
        <v>19.090147920736811</v>
      </c>
      <c r="R102" s="134">
        <v>27.825953226348297</v>
      </c>
      <c r="S102" s="138">
        <v>12.961672724774697</v>
      </c>
      <c r="T102" s="152">
        <v>19.962656021118164</v>
      </c>
      <c r="U102" s="138">
        <v>34</v>
      </c>
      <c r="V102" s="138">
        <v>24.53463</v>
      </c>
      <c r="W102" s="138" t="s">
        <v>46</v>
      </c>
      <c r="X102" s="138">
        <v>17.430167597765362</v>
      </c>
      <c r="Y102" s="138">
        <v>19.013203613620568</v>
      </c>
      <c r="Z102" s="138">
        <v>24.20429</v>
      </c>
      <c r="AA102" s="138">
        <v>16.618126032549299</v>
      </c>
      <c r="AB102" s="138" t="s">
        <v>46</v>
      </c>
      <c r="AC102" s="152">
        <v>22.810763527989891</v>
      </c>
      <c r="AD102" s="138">
        <v>30.950120752259878</v>
      </c>
      <c r="AE102" s="140"/>
      <c r="AF102" s="138">
        <v>18</v>
      </c>
      <c r="AG102" s="138">
        <v>6.283225015714768</v>
      </c>
      <c r="AH102" s="138">
        <v>10.22983</v>
      </c>
    </row>
    <row r="103" spans="1:481">
      <c r="A103" s="150">
        <v>2.7</v>
      </c>
      <c r="B103" s="153" t="s">
        <v>19</v>
      </c>
      <c r="C103" s="134" t="s">
        <v>248</v>
      </c>
      <c r="D103" s="134">
        <v>1.8385849999999999</v>
      </c>
      <c r="E103" s="134" t="s">
        <v>248</v>
      </c>
      <c r="F103" s="134" t="s">
        <v>248</v>
      </c>
      <c r="G103" s="138" t="s">
        <v>248</v>
      </c>
      <c r="H103" s="138" t="s">
        <v>248</v>
      </c>
      <c r="I103" s="138">
        <v>9.8470279999999999</v>
      </c>
      <c r="J103" s="152">
        <v>0.7635131669664672</v>
      </c>
      <c r="K103" s="138">
        <v>4.3636500000000007</v>
      </c>
      <c r="L103" s="134" t="s">
        <v>248</v>
      </c>
      <c r="M103" s="138" t="s">
        <v>248</v>
      </c>
      <c r="N103" s="138" t="s">
        <v>248</v>
      </c>
      <c r="O103" s="152">
        <v>0.10185687703964658</v>
      </c>
      <c r="P103" s="152" t="s">
        <v>248</v>
      </c>
      <c r="Q103" s="138" t="s">
        <v>248</v>
      </c>
      <c r="R103" s="134" t="s">
        <v>248</v>
      </c>
      <c r="S103" s="138" t="s">
        <v>248</v>
      </c>
      <c r="T103" s="152" t="s">
        <v>248</v>
      </c>
      <c r="U103" s="138" t="s">
        <v>248</v>
      </c>
      <c r="V103" s="138">
        <v>22.459019999999999</v>
      </c>
      <c r="W103" s="138" t="s">
        <v>248</v>
      </c>
      <c r="X103" s="138" t="s">
        <v>248</v>
      </c>
      <c r="Y103" s="138" t="s">
        <v>248</v>
      </c>
      <c r="Z103" s="138">
        <v>16.6724</v>
      </c>
      <c r="AA103" s="138">
        <v>5.5479650172268373</v>
      </c>
      <c r="AB103" s="138" t="s">
        <v>248</v>
      </c>
      <c r="AC103" s="152" t="s">
        <v>248</v>
      </c>
      <c r="AD103" s="138">
        <v>3.0063830730718109</v>
      </c>
      <c r="AE103" s="140"/>
      <c r="AF103" s="138" t="s">
        <v>248</v>
      </c>
      <c r="AG103" s="138" t="s">
        <v>248</v>
      </c>
      <c r="AH103" s="138">
        <v>12.59755</v>
      </c>
    </row>
    <row r="104" spans="1:481" s="149" customFormat="1">
      <c r="A104" s="145">
        <v>3</v>
      </c>
      <c r="B104" s="146" t="s">
        <v>20</v>
      </c>
      <c r="C104" s="171">
        <v>666</v>
      </c>
      <c r="D104" s="171">
        <v>640.78496000000007</v>
      </c>
      <c r="E104" s="171">
        <v>679.52810548230389</v>
      </c>
      <c r="F104" s="171">
        <v>652.76109666101092</v>
      </c>
      <c r="G104" s="147">
        <v>673.37854405155133</v>
      </c>
      <c r="H104" s="147">
        <v>663.34558812438661</v>
      </c>
      <c r="I104" s="147">
        <v>650.72680000000003</v>
      </c>
      <c r="J104" s="154">
        <v>760.88806673622412</v>
      </c>
      <c r="K104" s="147">
        <v>658.66205000000002</v>
      </c>
      <c r="L104" s="171">
        <v>702.04986149584488</v>
      </c>
      <c r="M104" s="147">
        <v>683.42379958246352</v>
      </c>
      <c r="N104" s="147">
        <v>628.99496244688203</v>
      </c>
      <c r="O104" s="148">
        <v>705.327315056609</v>
      </c>
      <c r="P104" s="148">
        <v>628.478881475771</v>
      </c>
      <c r="Q104" s="147">
        <v>654.08875244208764</v>
      </c>
      <c r="R104" s="171">
        <v>643.69356534168719</v>
      </c>
      <c r="S104" s="147">
        <v>618.93530078157266</v>
      </c>
      <c r="T104" s="148">
        <v>656.68829345703125</v>
      </c>
      <c r="U104" s="147">
        <v>656</v>
      </c>
      <c r="V104" s="147">
        <v>641.81551999999999</v>
      </c>
      <c r="W104" s="147">
        <v>678.23204419889498</v>
      </c>
      <c r="X104" s="147">
        <v>673.74301675977654</v>
      </c>
      <c r="Y104" s="147">
        <v>630.43780403057679</v>
      </c>
      <c r="Z104" s="147">
        <v>686.55228</v>
      </c>
      <c r="AA104" s="147">
        <v>616.84265567503201</v>
      </c>
      <c r="AB104" s="147">
        <v>696.93593313987083</v>
      </c>
      <c r="AC104" s="154">
        <v>655.42715207255912</v>
      </c>
      <c r="AD104" s="147">
        <v>662.16216609421929</v>
      </c>
      <c r="AE104" s="221"/>
      <c r="AF104" s="147">
        <v>692</v>
      </c>
      <c r="AG104" s="147">
        <v>669.86036688275237</v>
      </c>
      <c r="AH104" s="147">
        <v>694.82945999999993</v>
      </c>
      <c r="AI104" s="86"/>
      <c r="AJ104" s="86"/>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c r="BT104" s="86"/>
      <c r="BU104" s="86"/>
      <c r="BV104" s="86"/>
      <c r="BW104" s="86"/>
      <c r="BX104" s="86"/>
      <c r="BY104" s="86"/>
      <c r="BZ104" s="86"/>
      <c r="CA104" s="86"/>
      <c r="CB104" s="86"/>
      <c r="CC104" s="86"/>
      <c r="CD104" s="86"/>
      <c r="CE104" s="86"/>
      <c r="CF104" s="86"/>
      <c r="CG104" s="86"/>
      <c r="CH104" s="86"/>
      <c r="CI104" s="86"/>
      <c r="CJ104" s="86"/>
      <c r="CK104" s="86"/>
      <c r="CL104" s="86"/>
      <c r="CM104" s="86"/>
      <c r="CN104" s="86"/>
      <c r="CO104" s="86"/>
      <c r="CP104" s="86"/>
      <c r="CQ104" s="86"/>
      <c r="CR104" s="86"/>
      <c r="CS104" s="86"/>
      <c r="CT104" s="86"/>
      <c r="CU104" s="86"/>
      <c r="CV104" s="86"/>
      <c r="CW104" s="86"/>
      <c r="CX104" s="86"/>
      <c r="CY104" s="86"/>
      <c r="CZ104" s="86"/>
      <c r="DA104" s="86"/>
      <c r="DB104" s="86"/>
      <c r="DC104" s="86"/>
      <c r="DD104" s="86"/>
      <c r="DE104" s="86"/>
      <c r="DF104" s="86"/>
      <c r="DG104" s="86"/>
      <c r="DH104" s="86"/>
      <c r="DI104" s="86"/>
      <c r="DJ104" s="86"/>
      <c r="DK104" s="86"/>
      <c r="DL104" s="86"/>
      <c r="DM104" s="86"/>
      <c r="DN104" s="86"/>
      <c r="DO104" s="86"/>
      <c r="DP104" s="86"/>
      <c r="DQ104" s="86"/>
      <c r="DR104" s="86"/>
      <c r="DS104" s="86"/>
      <c r="DT104" s="86"/>
      <c r="DU104" s="86"/>
      <c r="DV104" s="86"/>
      <c r="DW104" s="86"/>
      <c r="DX104" s="86"/>
      <c r="DY104" s="86"/>
      <c r="DZ104" s="86"/>
      <c r="EA104" s="86"/>
      <c r="EB104" s="86"/>
      <c r="EC104" s="86"/>
      <c r="ED104" s="86"/>
      <c r="EE104" s="86"/>
      <c r="EF104" s="86"/>
      <c r="EG104" s="86"/>
      <c r="EH104" s="86"/>
      <c r="EI104" s="86"/>
      <c r="EJ104" s="86"/>
      <c r="EK104" s="86"/>
      <c r="EL104" s="86"/>
      <c r="EM104" s="86"/>
      <c r="EN104" s="86"/>
      <c r="EO104" s="86"/>
      <c r="EP104" s="86"/>
      <c r="EQ104" s="86"/>
      <c r="ER104" s="86"/>
      <c r="ES104" s="86"/>
      <c r="ET104" s="86"/>
      <c r="EU104" s="86"/>
      <c r="EV104" s="86"/>
      <c r="EW104" s="86"/>
      <c r="EX104" s="86"/>
      <c r="EY104" s="86"/>
      <c r="EZ104" s="86"/>
      <c r="FA104" s="86"/>
      <c r="FB104" s="86"/>
      <c r="FC104" s="86"/>
      <c r="FD104" s="86"/>
      <c r="FE104" s="86"/>
      <c r="FF104" s="86"/>
      <c r="FG104" s="86"/>
      <c r="FH104" s="86"/>
      <c r="FI104" s="86"/>
      <c r="FJ104" s="86"/>
      <c r="FK104" s="86"/>
      <c r="FL104" s="86"/>
      <c r="FM104" s="86"/>
      <c r="FN104" s="86"/>
      <c r="FO104" s="86"/>
      <c r="FP104" s="86"/>
      <c r="FQ104" s="86"/>
      <c r="FR104" s="86"/>
      <c r="FS104" s="86"/>
      <c r="FT104" s="86"/>
      <c r="FU104" s="86"/>
      <c r="FV104" s="86"/>
      <c r="FW104" s="86"/>
      <c r="FX104" s="86"/>
      <c r="FY104" s="86"/>
      <c r="FZ104" s="86"/>
      <c r="GA104" s="86"/>
      <c r="GB104" s="86"/>
      <c r="GC104" s="86"/>
      <c r="GD104" s="86"/>
      <c r="GE104" s="86"/>
      <c r="GF104" s="86"/>
      <c r="GG104" s="86"/>
      <c r="GH104" s="86"/>
      <c r="GI104" s="86"/>
      <c r="GJ104" s="86"/>
      <c r="GK104" s="86"/>
      <c r="GL104" s="86"/>
      <c r="GM104" s="86"/>
      <c r="GN104" s="86"/>
      <c r="GO104" s="86"/>
      <c r="GP104" s="86"/>
      <c r="GQ104" s="86"/>
      <c r="GR104" s="86"/>
      <c r="GS104" s="86"/>
      <c r="GT104" s="86"/>
      <c r="GU104" s="86"/>
      <c r="GV104" s="86"/>
      <c r="GW104" s="86"/>
      <c r="GX104" s="86"/>
      <c r="GY104" s="86"/>
      <c r="GZ104" s="86"/>
      <c r="HA104" s="86"/>
      <c r="HB104" s="86"/>
      <c r="HC104" s="86"/>
      <c r="HD104" s="86"/>
      <c r="HE104" s="86"/>
      <c r="HF104" s="86"/>
      <c r="HG104" s="86"/>
      <c r="HH104" s="86"/>
      <c r="HI104" s="86"/>
      <c r="HJ104" s="86"/>
      <c r="HK104" s="86"/>
      <c r="HL104" s="86"/>
      <c r="HM104" s="86"/>
      <c r="HN104" s="86"/>
      <c r="HO104" s="86"/>
      <c r="HP104" s="86"/>
      <c r="HQ104" s="86"/>
      <c r="HR104" s="86"/>
      <c r="HS104" s="86"/>
      <c r="HT104" s="86"/>
      <c r="HU104" s="86"/>
      <c r="HV104" s="86"/>
      <c r="HW104" s="86"/>
      <c r="HX104" s="86"/>
      <c r="HY104" s="86"/>
      <c r="HZ104" s="86"/>
      <c r="IA104" s="86"/>
      <c r="IB104" s="86"/>
      <c r="IC104" s="86"/>
      <c r="ID104" s="86"/>
      <c r="IE104" s="86"/>
      <c r="IF104" s="86"/>
      <c r="IG104" s="86"/>
      <c r="IH104" s="86"/>
      <c r="II104" s="86"/>
      <c r="IJ104" s="86"/>
      <c r="IK104" s="86"/>
      <c r="IL104" s="86"/>
      <c r="IM104" s="86"/>
      <c r="IN104" s="86"/>
      <c r="IO104" s="86"/>
      <c r="IP104" s="86"/>
      <c r="IQ104" s="86"/>
      <c r="IR104" s="86"/>
      <c r="IS104" s="86"/>
      <c r="IT104" s="86"/>
      <c r="IU104" s="86"/>
      <c r="IV104" s="86"/>
      <c r="IW104" s="86"/>
      <c r="IX104" s="86"/>
      <c r="IY104" s="86"/>
      <c r="IZ104" s="86"/>
      <c r="JA104" s="86"/>
      <c r="JB104" s="86"/>
      <c r="JC104" s="86"/>
      <c r="JD104" s="86"/>
      <c r="JE104" s="86"/>
      <c r="JF104" s="86"/>
      <c r="JG104" s="86"/>
      <c r="JH104" s="86"/>
      <c r="JI104" s="86"/>
      <c r="JJ104" s="86"/>
      <c r="JK104" s="86"/>
      <c r="JL104" s="86"/>
      <c r="JM104" s="86"/>
      <c r="JN104" s="86"/>
      <c r="JO104" s="86"/>
      <c r="JP104" s="86"/>
      <c r="JQ104" s="86"/>
      <c r="JR104" s="86"/>
      <c r="JS104" s="86"/>
      <c r="JT104" s="86"/>
      <c r="JU104" s="86"/>
      <c r="JV104" s="86"/>
      <c r="JW104" s="86"/>
      <c r="JX104" s="86"/>
      <c r="JY104" s="86"/>
      <c r="JZ104" s="86"/>
      <c r="KA104" s="86"/>
      <c r="KB104" s="86"/>
      <c r="KC104" s="86"/>
      <c r="KD104" s="86"/>
      <c r="KE104" s="86"/>
      <c r="KF104" s="86"/>
      <c r="KG104" s="86"/>
      <c r="KH104" s="86"/>
      <c r="KI104" s="86"/>
      <c r="KJ104" s="86"/>
      <c r="KK104" s="86"/>
      <c r="KL104" s="86"/>
      <c r="KM104" s="86"/>
      <c r="KN104" s="86"/>
      <c r="KO104" s="86"/>
      <c r="KP104" s="86"/>
      <c r="KQ104" s="86"/>
      <c r="KR104" s="86"/>
      <c r="KS104" s="86"/>
      <c r="KT104" s="86"/>
      <c r="KU104" s="86"/>
      <c r="KV104" s="86"/>
      <c r="KW104" s="86"/>
      <c r="KX104" s="86"/>
      <c r="KY104" s="86"/>
      <c r="KZ104" s="86"/>
      <c r="LA104" s="86"/>
      <c r="LB104" s="86"/>
      <c r="LC104" s="86"/>
      <c r="LD104" s="86"/>
      <c r="LE104" s="86"/>
      <c r="LF104" s="86"/>
      <c r="LG104" s="86"/>
      <c r="LH104" s="86"/>
      <c r="LI104" s="86"/>
      <c r="LJ104" s="86"/>
      <c r="LK104" s="86"/>
      <c r="LL104" s="86"/>
      <c r="LM104" s="86"/>
      <c r="LN104" s="86"/>
      <c r="LO104" s="86"/>
      <c r="LP104" s="86"/>
      <c r="LQ104" s="86"/>
      <c r="LR104" s="86"/>
      <c r="LS104" s="86"/>
      <c r="LT104" s="86"/>
      <c r="LU104" s="86"/>
      <c r="LV104" s="86"/>
      <c r="LW104" s="86"/>
      <c r="LX104" s="86"/>
      <c r="LY104" s="86"/>
      <c r="LZ104" s="86"/>
      <c r="MA104" s="86"/>
      <c r="MB104" s="86"/>
      <c r="MC104" s="86"/>
      <c r="MD104" s="86"/>
      <c r="ME104" s="86"/>
      <c r="MF104" s="86"/>
      <c r="MG104" s="86"/>
      <c r="MH104" s="86"/>
      <c r="MI104" s="86"/>
      <c r="MJ104" s="86"/>
      <c r="MK104" s="86"/>
      <c r="ML104" s="86"/>
      <c r="MM104" s="86"/>
      <c r="MN104" s="86"/>
      <c r="MO104" s="86"/>
      <c r="MP104" s="86"/>
      <c r="MQ104" s="86"/>
      <c r="MR104" s="86"/>
      <c r="MS104" s="86"/>
      <c r="MT104" s="86"/>
      <c r="MU104" s="86"/>
      <c r="MV104" s="86"/>
      <c r="MW104" s="86"/>
      <c r="MX104" s="86"/>
      <c r="MY104" s="86"/>
      <c r="MZ104" s="86"/>
      <c r="NA104" s="86"/>
      <c r="NB104" s="86"/>
      <c r="NC104" s="86"/>
      <c r="ND104" s="86"/>
      <c r="NE104" s="86"/>
      <c r="NF104" s="86"/>
      <c r="NG104" s="86"/>
      <c r="NH104" s="86"/>
      <c r="NI104" s="86"/>
      <c r="NJ104" s="86"/>
      <c r="NK104" s="86"/>
      <c r="NL104" s="86"/>
      <c r="NM104" s="86"/>
      <c r="NN104" s="86"/>
      <c r="NO104" s="86"/>
      <c r="NP104" s="86"/>
      <c r="NQ104" s="86"/>
      <c r="NR104" s="86"/>
      <c r="NS104" s="86"/>
      <c r="NT104" s="86"/>
      <c r="NU104" s="86"/>
      <c r="NV104" s="86"/>
      <c r="NW104" s="86"/>
      <c r="NX104" s="86"/>
      <c r="NY104" s="86"/>
      <c r="NZ104" s="86"/>
      <c r="OA104" s="86"/>
      <c r="OB104" s="86"/>
      <c r="OC104" s="86"/>
      <c r="OD104" s="86"/>
      <c r="OE104" s="86"/>
      <c r="OF104" s="86"/>
      <c r="OG104" s="86"/>
      <c r="OH104" s="86"/>
      <c r="OI104" s="86"/>
      <c r="OJ104" s="86"/>
      <c r="OK104" s="86"/>
      <c r="OL104" s="86"/>
      <c r="OM104" s="86"/>
      <c r="ON104" s="86"/>
      <c r="OO104" s="86"/>
      <c r="OP104" s="86"/>
      <c r="OQ104" s="86"/>
      <c r="OR104" s="86"/>
      <c r="OS104" s="86"/>
      <c r="OT104" s="86"/>
      <c r="OU104" s="86"/>
      <c r="OV104" s="86"/>
      <c r="OW104" s="86"/>
      <c r="OX104" s="86"/>
      <c r="OY104" s="86"/>
      <c r="OZ104" s="86"/>
      <c r="PA104" s="86"/>
      <c r="PB104" s="86"/>
      <c r="PC104" s="86"/>
      <c r="PD104" s="86"/>
      <c r="PE104" s="86"/>
      <c r="PF104" s="86"/>
      <c r="PG104" s="86"/>
      <c r="PH104" s="86"/>
      <c r="PI104" s="86"/>
      <c r="PJ104" s="86"/>
      <c r="PK104" s="86"/>
      <c r="PL104" s="86"/>
      <c r="PM104" s="86"/>
      <c r="PN104" s="86"/>
      <c r="PO104" s="86"/>
      <c r="PP104" s="86"/>
      <c r="PQ104" s="86"/>
      <c r="PR104" s="86"/>
      <c r="PS104" s="86"/>
      <c r="PT104" s="86"/>
      <c r="PU104" s="86"/>
      <c r="PV104" s="86"/>
      <c r="PW104" s="86"/>
      <c r="PX104" s="86"/>
      <c r="PY104" s="86"/>
      <c r="PZ104" s="86"/>
      <c r="QA104" s="86"/>
      <c r="QB104" s="86"/>
      <c r="QC104" s="86"/>
      <c r="QD104" s="86"/>
      <c r="QE104" s="86"/>
      <c r="QF104" s="86"/>
      <c r="QG104" s="86"/>
      <c r="QH104" s="86"/>
      <c r="QI104" s="86"/>
      <c r="QJ104" s="86"/>
      <c r="QK104" s="86"/>
      <c r="QL104" s="86"/>
      <c r="QM104" s="86"/>
      <c r="QN104" s="86"/>
      <c r="QO104" s="86"/>
      <c r="QP104" s="86"/>
      <c r="QQ104" s="86"/>
      <c r="QR104" s="86"/>
      <c r="QS104" s="86"/>
      <c r="QT104" s="86"/>
      <c r="QU104" s="86"/>
      <c r="QV104" s="86"/>
      <c r="QW104" s="86"/>
      <c r="QX104" s="86"/>
      <c r="QY104" s="86"/>
      <c r="QZ104" s="86"/>
      <c r="RA104" s="86"/>
      <c r="RB104" s="86"/>
      <c r="RC104" s="86"/>
      <c r="RD104" s="86"/>
      <c r="RE104" s="86"/>
      <c r="RF104" s="86"/>
      <c r="RG104" s="86"/>
      <c r="RH104" s="86"/>
      <c r="RI104" s="86"/>
      <c r="RJ104" s="86"/>
      <c r="RK104" s="86"/>
      <c r="RL104" s="86"/>
      <c r="RM104" s="86"/>
    </row>
    <row r="105" spans="1:481">
      <c r="A105" s="150">
        <v>3.1</v>
      </c>
      <c r="B105" s="151" t="s">
        <v>21</v>
      </c>
      <c r="C105" s="134">
        <v>514</v>
      </c>
      <c r="D105" s="134">
        <v>501.35329999999999</v>
      </c>
      <c r="E105" s="134">
        <v>524.6356696738377</v>
      </c>
      <c r="F105" s="134">
        <v>526.71955649326742</v>
      </c>
      <c r="G105" s="138">
        <v>496.52949144005203</v>
      </c>
      <c r="H105" s="138">
        <v>527.83766378534449</v>
      </c>
      <c r="I105" s="138">
        <v>511.53750000000002</v>
      </c>
      <c r="J105" s="152">
        <v>516.46614529838473</v>
      </c>
      <c r="K105" s="138">
        <v>502.90949999999998</v>
      </c>
      <c r="L105" s="134">
        <v>517.56232686980616</v>
      </c>
      <c r="M105" s="138" t="s">
        <v>248</v>
      </c>
      <c r="N105" s="138">
        <v>505.60320426351905</v>
      </c>
      <c r="O105" s="152">
        <v>512.35072045708375</v>
      </c>
      <c r="P105" s="152">
        <v>438.04162568778077</v>
      </c>
      <c r="Q105" s="138">
        <v>462.18252860731229</v>
      </c>
      <c r="R105" s="134">
        <v>515.45215309058938</v>
      </c>
      <c r="S105" s="138">
        <v>479.39840425905015</v>
      </c>
      <c r="T105" s="152">
        <v>515.81854248046875</v>
      </c>
      <c r="U105" s="138">
        <v>529</v>
      </c>
      <c r="V105" s="138">
        <v>501.1259</v>
      </c>
      <c r="W105" s="138">
        <v>520.11049723756901</v>
      </c>
      <c r="X105" s="138">
        <v>507.82122905027938</v>
      </c>
      <c r="Y105" s="138">
        <v>504.35024322446139</v>
      </c>
      <c r="Z105" s="138">
        <v>511.10039999999998</v>
      </c>
      <c r="AA105" s="138">
        <v>543.06445839076559</v>
      </c>
      <c r="AB105" s="138">
        <v>533.48189414447666</v>
      </c>
      <c r="AC105" s="152">
        <v>511.74504166764785</v>
      </c>
      <c r="AD105" s="138">
        <v>531.31441291389194</v>
      </c>
      <c r="AE105" s="140"/>
      <c r="AF105" s="138">
        <v>544</v>
      </c>
      <c r="AG105" s="138">
        <v>520.91666886575854</v>
      </c>
      <c r="AH105" s="138">
        <v>556.59889999999996</v>
      </c>
    </row>
    <row r="106" spans="1:481">
      <c r="A106" s="150">
        <v>3.2</v>
      </c>
      <c r="B106" s="153" t="s">
        <v>22</v>
      </c>
      <c r="C106" s="134">
        <v>91</v>
      </c>
      <c r="D106" s="134">
        <v>81.003410000000002</v>
      </c>
      <c r="E106" s="134">
        <v>92.935461485079813</v>
      </c>
      <c r="F106" s="134">
        <v>64.584258734802503</v>
      </c>
      <c r="G106" s="138">
        <v>120.26470620876209</v>
      </c>
      <c r="H106" s="138">
        <v>76.847403021474804</v>
      </c>
      <c r="I106" s="138">
        <v>81.036709999999999</v>
      </c>
      <c r="J106" s="152">
        <v>131.31381151731554</v>
      </c>
      <c r="K106" s="138">
        <v>96.549516666666662</v>
      </c>
      <c r="L106" s="134">
        <v>124.65373961218837</v>
      </c>
      <c r="M106" s="138" t="s">
        <v>248</v>
      </c>
      <c r="N106" s="138">
        <v>75.186484919727292</v>
      </c>
      <c r="O106" s="152">
        <v>124.99706527923414</v>
      </c>
      <c r="P106" s="152">
        <v>94.764307168868456</v>
      </c>
      <c r="Q106" s="138">
        <v>103.48869662294166</v>
      </c>
      <c r="R106" s="134">
        <v>84.887406581411838</v>
      </c>
      <c r="S106" s="138">
        <v>76.842453996524029</v>
      </c>
      <c r="T106" s="152">
        <v>70.037017822265625</v>
      </c>
      <c r="U106" s="138">
        <v>80</v>
      </c>
      <c r="V106" s="138">
        <v>77.485560000000007</v>
      </c>
      <c r="W106" s="138">
        <v>95.469613259668506</v>
      </c>
      <c r="X106" s="138">
        <v>107.59776536312849</v>
      </c>
      <c r="Y106" s="138">
        <v>83.057678943710911</v>
      </c>
      <c r="Z106" s="138">
        <v>122.5522</v>
      </c>
      <c r="AA106" s="138">
        <v>73.530519396344403</v>
      </c>
      <c r="AB106" s="234">
        <v>163.45403899539414</v>
      </c>
      <c r="AC106" s="152">
        <v>78.49849104723917</v>
      </c>
      <c r="AD106" s="138">
        <v>61.186631487175077</v>
      </c>
      <c r="AE106" s="140"/>
      <c r="AF106" s="138">
        <v>96</v>
      </c>
      <c r="AG106" s="138">
        <v>79.950084074333091</v>
      </c>
      <c r="AH106" s="138">
        <v>68.920749999999998</v>
      </c>
    </row>
    <row r="107" spans="1:481" ht="22.5">
      <c r="A107" s="150">
        <v>3.3</v>
      </c>
      <c r="B107" s="153" t="s">
        <v>23</v>
      </c>
      <c r="C107" s="134">
        <v>61</v>
      </c>
      <c r="D107" s="134">
        <v>58.428249999999998</v>
      </c>
      <c r="E107" s="134">
        <v>61.956974323386532</v>
      </c>
      <c r="F107" s="134">
        <v>61.457281432940889</v>
      </c>
      <c r="G107" s="138">
        <v>56.584346402737218</v>
      </c>
      <c r="H107" s="138">
        <v>58.660521317567301</v>
      </c>
      <c r="I107" s="138">
        <v>58.152589999999996</v>
      </c>
      <c r="J107" s="152">
        <v>113.10810992052379</v>
      </c>
      <c r="K107" s="138">
        <v>59.20303333333333</v>
      </c>
      <c r="L107" s="134">
        <v>59.833795013850413</v>
      </c>
      <c r="M107" s="138" t="s">
        <v>248</v>
      </c>
      <c r="N107" s="138">
        <v>48.205273263635732</v>
      </c>
      <c r="O107" s="152">
        <v>67.979529320291135</v>
      </c>
      <c r="P107" s="152">
        <v>95.672948619122295</v>
      </c>
      <c r="Q107" s="138">
        <v>88.417527211833658</v>
      </c>
      <c r="R107" s="134">
        <v>43.354005669686018</v>
      </c>
      <c r="S107" s="138">
        <v>62.694442525998383</v>
      </c>
      <c r="T107" s="152">
        <v>70.832717895507813</v>
      </c>
      <c r="U107" s="138">
        <v>47</v>
      </c>
      <c r="V107" s="138">
        <v>63.204059999999998</v>
      </c>
      <c r="W107" s="138">
        <v>62.65193370165747</v>
      </c>
      <c r="X107" s="138">
        <v>58.324022346368714</v>
      </c>
      <c r="Y107" s="138">
        <v>43.029881862404444</v>
      </c>
      <c r="Z107" s="138">
        <v>52.899679999999996</v>
      </c>
      <c r="AA107" s="138">
        <v>0.24767788792200918</v>
      </c>
      <c r="AB107" s="234"/>
      <c r="AC107" s="152">
        <v>65.1836193576721</v>
      </c>
      <c r="AD107" s="138">
        <v>69.661121693152268</v>
      </c>
      <c r="AE107" s="140"/>
      <c r="AF107" s="138">
        <v>51.999999999999993</v>
      </c>
      <c r="AG107" s="138">
        <v>68.993613942660716</v>
      </c>
      <c r="AH107" s="138">
        <v>69.309809999999999</v>
      </c>
    </row>
    <row r="108" spans="1:481" s="149" customFormat="1">
      <c r="A108" s="145">
        <v>4</v>
      </c>
      <c r="B108" s="146" t="s">
        <v>24</v>
      </c>
      <c r="C108" s="171">
        <v>269</v>
      </c>
      <c r="D108" s="171">
        <v>274.27513599999997</v>
      </c>
      <c r="E108" s="171">
        <v>345.75988896599586</v>
      </c>
      <c r="F108" s="171">
        <v>259.66452857907461</v>
      </c>
      <c r="G108" s="147">
        <v>319.61254445197494</v>
      </c>
      <c r="H108" s="147">
        <v>277.80949435540822</v>
      </c>
      <c r="I108" s="147">
        <v>303.60413599999998</v>
      </c>
      <c r="J108" s="154">
        <v>269.74337965874224</v>
      </c>
      <c r="K108" s="147">
        <v>315.76833166666671</v>
      </c>
      <c r="L108" s="171">
        <v>318.1163434903047</v>
      </c>
      <c r="M108" s="147">
        <v>254.5302713987474</v>
      </c>
      <c r="N108" s="147">
        <v>289.72332815738912</v>
      </c>
      <c r="O108" s="148">
        <v>280.92225367741901</v>
      </c>
      <c r="P108" s="148">
        <v>251.51104436352</v>
      </c>
      <c r="Q108" s="147">
        <v>268.26681551772259</v>
      </c>
      <c r="R108" s="171">
        <v>249.248179830482</v>
      </c>
      <c r="S108" s="147">
        <v>164.64180872168583</v>
      </c>
      <c r="T108" s="148">
        <v>290.29965209960938</v>
      </c>
      <c r="U108" s="147">
        <v>295</v>
      </c>
      <c r="V108" s="147">
        <v>365.84819900000002</v>
      </c>
      <c r="W108" s="147">
        <v>258.56353591160223</v>
      </c>
      <c r="X108" s="147">
        <v>199.77653631284915</v>
      </c>
      <c r="Y108" s="147">
        <v>283.19666435024322</v>
      </c>
      <c r="Z108" s="147">
        <v>283.995586</v>
      </c>
      <c r="AA108" s="147">
        <v>272.37508324809056</v>
      </c>
      <c r="AB108" s="147">
        <v>270.75208914169121</v>
      </c>
      <c r="AC108" s="154">
        <v>284.67795888641001</v>
      </c>
      <c r="AD108" s="147">
        <v>261.9673673672624</v>
      </c>
      <c r="AE108" s="221"/>
      <c r="AF108" s="147">
        <v>211</v>
      </c>
      <c r="AG108" s="147">
        <v>220.94849366325897</v>
      </c>
      <c r="AH108" s="147">
        <v>281.84986400000003</v>
      </c>
      <c r="AI108" s="86"/>
      <c r="AJ108" s="86"/>
      <c r="AK108" s="86"/>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c r="BL108" s="86"/>
      <c r="BM108" s="86"/>
      <c r="BN108" s="86"/>
      <c r="BO108" s="86"/>
      <c r="BP108" s="86"/>
      <c r="BQ108" s="86"/>
      <c r="BR108" s="86"/>
      <c r="BS108" s="86"/>
      <c r="BT108" s="86"/>
      <c r="BU108" s="86"/>
      <c r="BV108" s="86"/>
      <c r="BW108" s="86"/>
      <c r="BX108" s="86"/>
      <c r="BY108" s="86"/>
      <c r="BZ108" s="86"/>
      <c r="CA108" s="86"/>
      <c r="CB108" s="86"/>
      <c r="CC108" s="86"/>
      <c r="CD108" s="86"/>
      <c r="CE108" s="86"/>
      <c r="CF108" s="86"/>
      <c r="CG108" s="86"/>
      <c r="CH108" s="86"/>
      <c r="CI108" s="86"/>
      <c r="CJ108" s="86"/>
      <c r="CK108" s="86"/>
      <c r="CL108" s="86"/>
      <c r="CM108" s="86"/>
      <c r="CN108" s="86"/>
      <c r="CO108" s="86"/>
      <c r="CP108" s="86"/>
      <c r="CQ108" s="86"/>
      <c r="CR108" s="86"/>
      <c r="CS108" s="86"/>
      <c r="CT108" s="86"/>
      <c r="CU108" s="86"/>
      <c r="CV108" s="86"/>
      <c r="CW108" s="86"/>
      <c r="CX108" s="86"/>
      <c r="CY108" s="86"/>
      <c r="CZ108" s="86"/>
      <c r="DA108" s="86"/>
      <c r="DB108" s="86"/>
      <c r="DC108" s="86"/>
      <c r="DD108" s="86"/>
      <c r="DE108" s="86"/>
      <c r="DF108" s="86"/>
      <c r="DG108" s="86"/>
      <c r="DH108" s="86"/>
      <c r="DI108" s="86"/>
      <c r="DJ108" s="86"/>
      <c r="DK108" s="86"/>
      <c r="DL108" s="86"/>
      <c r="DM108" s="86"/>
      <c r="DN108" s="86"/>
      <c r="DO108" s="86"/>
      <c r="DP108" s="86"/>
      <c r="DQ108" s="86"/>
      <c r="DR108" s="86"/>
      <c r="DS108" s="86"/>
      <c r="DT108" s="86"/>
      <c r="DU108" s="86"/>
      <c r="DV108" s="86"/>
      <c r="DW108" s="86"/>
      <c r="DX108" s="86"/>
      <c r="DY108" s="86"/>
      <c r="DZ108" s="86"/>
      <c r="EA108" s="86"/>
      <c r="EB108" s="86"/>
      <c r="EC108" s="86"/>
      <c r="ED108" s="86"/>
      <c r="EE108" s="86"/>
      <c r="EF108" s="86"/>
      <c r="EG108" s="86"/>
      <c r="EH108" s="86"/>
      <c r="EI108" s="86"/>
      <c r="EJ108" s="86"/>
      <c r="EK108" s="86"/>
      <c r="EL108" s="86"/>
      <c r="EM108" s="86"/>
      <c r="EN108" s="86"/>
      <c r="EO108" s="86"/>
      <c r="EP108" s="86"/>
      <c r="EQ108" s="86"/>
      <c r="ER108" s="86"/>
      <c r="ES108" s="86"/>
      <c r="ET108" s="86"/>
      <c r="EU108" s="86"/>
      <c r="EV108" s="86"/>
      <c r="EW108" s="86"/>
      <c r="EX108" s="86"/>
      <c r="EY108" s="86"/>
      <c r="EZ108" s="86"/>
      <c r="FA108" s="86"/>
      <c r="FB108" s="86"/>
      <c r="FC108" s="86"/>
      <c r="FD108" s="86"/>
      <c r="FE108" s="86"/>
      <c r="FF108" s="86"/>
      <c r="FG108" s="86"/>
      <c r="FH108" s="86"/>
      <c r="FI108" s="86"/>
      <c r="FJ108" s="86"/>
      <c r="FK108" s="86"/>
      <c r="FL108" s="86"/>
      <c r="FM108" s="86"/>
      <c r="FN108" s="86"/>
      <c r="FO108" s="86"/>
      <c r="FP108" s="86"/>
      <c r="FQ108" s="86"/>
      <c r="FR108" s="86"/>
      <c r="FS108" s="86"/>
      <c r="FT108" s="86"/>
      <c r="FU108" s="86"/>
      <c r="FV108" s="86"/>
      <c r="FW108" s="86"/>
      <c r="FX108" s="86"/>
      <c r="FY108" s="86"/>
      <c r="FZ108" s="86"/>
      <c r="GA108" s="86"/>
      <c r="GB108" s="86"/>
      <c r="GC108" s="86"/>
      <c r="GD108" s="86"/>
      <c r="GE108" s="86"/>
      <c r="GF108" s="86"/>
      <c r="GG108" s="86"/>
      <c r="GH108" s="86"/>
      <c r="GI108" s="86"/>
      <c r="GJ108" s="86"/>
      <c r="GK108" s="86"/>
      <c r="GL108" s="86"/>
      <c r="GM108" s="86"/>
      <c r="GN108" s="86"/>
      <c r="GO108" s="86"/>
      <c r="GP108" s="86"/>
      <c r="GQ108" s="86"/>
      <c r="GR108" s="86"/>
      <c r="GS108" s="86"/>
      <c r="GT108" s="86"/>
      <c r="GU108" s="86"/>
      <c r="GV108" s="86"/>
      <c r="GW108" s="86"/>
      <c r="GX108" s="86"/>
      <c r="GY108" s="86"/>
      <c r="GZ108" s="86"/>
      <c r="HA108" s="86"/>
      <c r="HB108" s="86"/>
      <c r="HC108" s="86"/>
      <c r="HD108" s="86"/>
      <c r="HE108" s="86"/>
      <c r="HF108" s="86"/>
      <c r="HG108" s="86"/>
      <c r="HH108" s="86"/>
      <c r="HI108" s="86"/>
      <c r="HJ108" s="86"/>
      <c r="HK108" s="86"/>
      <c r="HL108" s="86"/>
      <c r="HM108" s="86"/>
      <c r="HN108" s="86"/>
      <c r="HO108" s="86"/>
      <c r="HP108" s="86"/>
      <c r="HQ108" s="86"/>
      <c r="HR108" s="86"/>
      <c r="HS108" s="86"/>
      <c r="HT108" s="86"/>
      <c r="HU108" s="86"/>
      <c r="HV108" s="86"/>
      <c r="HW108" s="86"/>
      <c r="HX108" s="86"/>
      <c r="HY108" s="86"/>
      <c r="HZ108" s="86"/>
      <c r="IA108" s="86"/>
      <c r="IB108" s="86"/>
      <c r="IC108" s="86"/>
      <c r="ID108" s="86"/>
      <c r="IE108" s="86"/>
      <c r="IF108" s="86"/>
      <c r="IG108" s="86"/>
      <c r="IH108" s="86"/>
      <c r="II108" s="86"/>
      <c r="IJ108" s="86"/>
      <c r="IK108" s="86"/>
      <c r="IL108" s="86"/>
      <c r="IM108" s="86"/>
      <c r="IN108" s="86"/>
      <c r="IO108" s="86"/>
      <c r="IP108" s="86"/>
      <c r="IQ108" s="86"/>
      <c r="IR108" s="86"/>
      <c r="IS108" s="86"/>
      <c r="IT108" s="86"/>
      <c r="IU108" s="86"/>
      <c r="IV108" s="86"/>
      <c r="IW108" s="86"/>
      <c r="IX108" s="86"/>
      <c r="IY108" s="86"/>
      <c r="IZ108" s="86"/>
      <c r="JA108" s="86"/>
      <c r="JB108" s="86"/>
      <c r="JC108" s="86"/>
      <c r="JD108" s="86"/>
      <c r="JE108" s="86"/>
      <c r="JF108" s="86"/>
      <c r="JG108" s="86"/>
      <c r="JH108" s="86"/>
      <c r="JI108" s="86"/>
      <c r="JJ108" s="86"/>
      <c r="JK108" s="86"/>
      <c r="JL108" s="86"/>
      <c r="JM108" s="86"/>
      <c r="JN108" s="86"/>
      <c r="JO108" s="86"/>
      <c r="JP108" s="86"/>
      <c r="JQ108" s="86"/>
      <c r="JR108" s="86"/>
      <c r="JS108" s="86"/>
      <c r="JT108" s="86"/>
      <c r="JU108" s="86"/>
      <c r="JV108" s="86"/>
      <c r="JW108" s="86"/>
      <c r="JX108" s="86"/>
      <c r="JY108" s="86"/>
      <c r="JZ108" s="86"/>
      <c r="KA108" s="86"/>
      <c r="KB108" s="86"/>
      <c r="KC108" s="86"/>
      <c r="KD108" s="86"/>
      <c r="KE108" s="86"/>
      <c r="KF108" s="86"/>
      <c r="KG108" s="86"/>
      <c r="KH108" s="86"/>
      <c r="KI108" s="86"/>
      <c r="KJ108" s="86"/>
      <c r="KK108" s="86"/>
      <c r="KL108" s="86"/>
      <c r="KM108" s="86"/>
      <c r="KN108" s="86"/>
      <c r="KO108" s="86"/>
      <c r="KP108" s="86"/>
      <c r="KQ108" s="86"/>
      <c r="KR108" s="86"/>
      <c r="KS108" s="86"/>
      <c r="KT108" s="86"/>
      <c r="KU108" s="86"/>
      <c r="KV108" s="86"/>
      <c r="KW108" s="86"/>
      <c r="KX108" s="86"/>
      <c r="KY108" s="86"/>
      <c r="KZ108" s="86"/>
      <c r="LA108" s="86"/>
      <c r="LB108" s="86"/>
      <c r="LC108" s="86"/>
      <c r="LD108" s="86"/>
      <c r="LE108" s="86"/>
      <c r="LF108" s="86"/>
      <c r="LG108" s="86"/>
      <c r="LH108" s="86"/>
      <c r="LI108" s="86"/>
      <c r="LJ108" s="86"/>
      <c r="LK108" s="86"/>
      <c r="LL108" s="86"/>
      <c r="LM108" s="86"/>
      <c r="LN108" s="86"/>
      <c r="LO108" s="86"/>
      <c r="LP108" s="86"/>
      <c r="LQ108" s="86"/>
      <c r="LR108" s="86"/>
      <c r="LS108" s="86"/>
      <c r="LT108" s="86"/>
      <c r="LU108" s="86"/>
      <c r="LV108" s="86"/>
      <c r="LW108" s="86"/>
      <c r="LX108" s="86"/>
      <c r="LY108" s="86"/>
      <c r="LZ108" s="86"/>
      <c r="MA108" s="86"/>
      <c r="MB108" s="86"/>
      <c r="MC108" s="86"/>
      <c r="MD108" s="86"/>
      <c r="ME108" s="86"/>
      <c r="MF108" s="86"/>
      <c r="MG108" s="86"/>
      <c r="MH108" s="86"/>
      <c r="MI108" s="86"/>
      <c r="MJ108" s="86"/>
      <c r="MK108" s="86"/>
      <c r="ML108" s="86"/>
      <c r="MM108" s="86"/>
      <c r="MN108" s="86"/>
      <c r="MO108" s="86"/>
      <c r="MP108" s="86"/>
      <c r="MQ108" s="86"/>
      <c r="MR108" s="86"/>
      <c r="MS108" s="86"/>
      <c r="MT108" s="86"/>
      <c r="MU108" s="86"/>
      <c r="MV108" s="86"/>
      <c r="MW108" s="86"/>
      <c r="MX108" s="86"/>
      <c r="MY108" s="86"/>
      <c r="MZ108" s="86"/>
      <c r="NA108" s="86"/>
      <c r="NB108" s="86"/>
      <c r="NC108" s="86"/>
      <c r="ND108" s="86"/>
      <c r="NE108" s="86"/>
      <c r="NF108" s="86"/>
      <c r="NG108" s="86"/>
      <c r="NH108" s="86"/>
      <c r="NI108" s="86"/>
      <c r="NJ108" s="86"/>
      <c r="NK108" s="86"/>
      <c r="NL108" s="86"/>
      <c r="NM108" s="86"/>
      <c r="NN108" s="86"/>
      <c r="NO108" s="86"/>
      <c r="NP108" s="86"/>
      <c r="NQ108" s="86"/>
      <c r="NR108" s="86"/>
      <c r="NS108" s="86"/>
      <c r="NT108" s="86"/>
      <c r="NU108" s="86"/>
      <c r="NV108" s="86"/>
      <c r="NW108" s="86"/>
      <c r="NX108" s="86"/>
      <c r="NY108" s="86"/>
      <c r="NZ108" s="86"/>
      <c r="OA108" s="86"/>
      <c r="OB108" s="86"/>
      <c r="OC108" s="86"/>
      <c r="OD108" s="86"/>
      <c r="OE108" s="86"/>
      <c r="OF108" s="86"/>
      <c r="OG108" s="86"/>
      <c r="OH108" s="86"/>
      <c r="OI108" s="86"/>
      <c r="OJ108" s="86"/>
      <c r="OK108" s="86"/>
      <c r="OL108" s="86"/>
      <c r="OM108" s="86"/>
      <c r="ON108" s="86"/>
      <c r="OO108" s="86"/>
      <c r="OP108" s="86"/>
      <c r="OQ108" s="86"/>
      <c r="OR108" s="86"/>
      <c r="OS108" s="86"/>
      <c r="OT108" s="86"/>
      <c r="OU108" s="86"/>
      <c r="OV108" s="86"/>
      <c r="OW108" s="86"/>
      <c r="OX108" s="86"/>
      <c r="OY108" s="86"/>
      <c r="OZ108" s="86"/>
      <c r="PA108" s="86"/>
      <c r="PB108" s="86"/>
      <c r="PC108" s="86"/>
      <c r="PD108" s="86"/>
      <c r="PE108" s="86"/>
      <c r="PF108" s="86"/>
      <c r="PG108" s="86"/>
      <c r="PH108" s="86"/>
      <c r="PI108" s="86"/>
      <c r="PJ108" s="86"/>
      <c r="PK108" s="86"/>
      <c r="PL108" s="86"/>
      <c r="PM108" s="86"/>
      <c r="PN108" s="86"/>
      <c r="PO108" s="86"/>
      <c r="PP108" s="86"/>
      <c r="PQ108" s="86"/>
      <c r="PR108" s="86"/>
      <c r="PS108" s="86"/>
      <c r="PT108" s="86"/>
      <c r="PU108" s="86"/>
      <c r="PV108" s="86"/>
      <c r="PW108" s="86"/>
      <c r="PX108" s="86"/>
      <c r="PY108" s="86"/>
      <c r="PZ108" s="86"/>
      <c r="QA108" s="86"/>
      <c r="QB108" s="86"/>
      <c r="QC108" s="86"/>
      <c r="QD108" s="86"/>
      <c r="QE108" s="86"/>
      <c r="QF108" s="86"/>
      <c r="QG108" s="86"/>
      <c r="QH108" s="86"/>
      <c r="QI108" s="86"/>
      <c r="QJ108" s="86"/>
      <c r="QK108" s="86"/>
      <c r="QL108" s="86"/>
      <c r="QM108" s="86"/>
      <c r="QN108" s="86"/>
      <c r="QO108" s="86"/>
      <c r="QP108" s="86"/>
      <c r="QQ108" s="86"/>
      <c r="QR108" s="86"/>
      <c r="QS108" s="86"/>
      <c r="QT108" s="86"/>
      <c r="QU108" s="86"/>
      <c r="QV108" s="86"/>
      <c r="QW108" s="86"/>
      <c r="QX108" s="86"/>
      <c r="QY108" s="86"/>
      <c r="QZ108" s="86"/>
      <c r="RA108" s="86"/>
      <c r="RB108" s="86"/>
      <c r="RC108" s="86"/>
      <c r="RD108" s="86"/>
      <c r="RE108" s="86"/>
      <c r="RF108" s="86"/>
      <c r="RG108" s="86"/>
      <c r="RH108" s="86"/>
      <c r="RI108" s="86"/>
      <c r="RJ108" s="86"/>
      <c r="RK108" s="86"/>
      <c r="RL108" s="86"/>
      <c r="RM108" s="86"/>
    </row>
    <row r="109" spans="1:481">
      <c r="A109" s="150">
        <v>4.0999999999999996</v>
      </c>
      <c r="B109" s="155" t="s">
        <v>25</v>
      </c>
      <c r="C109" s="134">
        <v>16</v>
      </c>
      <c r="D109" s="134">
        <v>30.01925</v>
      </c>
      <c r="E109" s="134">
        <v>5.9958362248438579</v>
      </c>
      <c r="F109" s="134">
        <v>16.523755454586826</v>
      </c>
      <c r="G109" s="138">
        <v>19.935430509102254</v>
      </c>
      <c r="H109" s="138">
        <v>22.720845329953427</v>
      </c>
      <c r="I109" s="138">
        <v>35.353200000000001</v>
      </c>
      <c r="J109" s="152">
        <v>7.2194666332073858</v>
      </c>
      <c r="K109" s="138">
        <v>24.520500000000002</v>
      </c>
      <c r="L109" s="134">
        <v>19.944598337950136</v>
      </c>
      <c r="M109" s="138">
        <v>15.031315240083508</v>
      </c>
      <c r="N109" s="138">
        <v>17.369985860758806</v>
      </c>
      <c r="O109" s="152">
        <v>32.730560759865092</v>
      </c>
      <c r="P109" s="152">
        <v>7.0791047553228248</v>
      </c>
      <c r="Q109" s="138">
        <v>23.109126430365613</v>
      </c>
      <c r="R109" s="134">
        <v>20.429071499167261</v>
      </c>
      <c r="S109" s="138">
        <v>9.8966183141420032</v>
      </c>
      <c r="T109" s="152">
        <v>19.619258880615234</v>
      </c>
      <c r="U109" s="138">
        <v>15</v>
      </c>
      <c r="V109" s="138">
        <v>20.824909999999999</v>
      </c>
      <c r="W109" s="138">
        <v>20.883977900552484</v>
      </c>
      <c r="X109" s="138">
        <v>6.033519553072626</v>
      </c>
      <c r="Y109" s="138">
        <v>28.019457956914525</v>
      </c>
      <c r="Z109" s="138">
        <v>36.910620000000002</v>
      </c>
      <c r="AA109" s="138">
        <v>16.49775817528716</v>
      </c>
      <c r="AB109" s="138">
        <v>5.4273355174039697</v>
      </c>
      <c r="AC109" s="152">
        <v>15.505492197926721</v>
      </c>
      <c r="AD109" s="138">
        <v>15.842810385068308</v>
      </c>
      <c r="AE109" s="140"/>
      <c r="AF109" s="138">
        <v>22</v>
      </c>
      <c r="AG109" s="138">
        <v>1.382403540189286</v>
      </c>
      <c r="AH109" s="138">
        <v>1.6328819999999999</v>
      </c>
    </row>
    <row r="110" spans="1:481">
      <c r="A110" s="150">
        <v>4.2</v>
      </c>
      <c r="B110" s="153" t="s">
        <v>26</v>
      </c>
      <c r="C110" s="134">
        <v>6</v>
      </c>
      <c r="D110" s="134">
        <v>8.9077760000000001</v>
      </c>
      <c r="E110" s="134">
        <v>5.9958362248438579</v>
      </c>
      <c r="F110" s="134">
        <v>5.6997505518543949</v>
      </c>
      <c r="G110" s="138">
        <v>7.8288943923415024</v>
      </c>
      <c r="H110" s="138">
        <v>8.2835845715449512</v>
      </c>
      <c r="I110" s="138">
        <v>8.3775259999999996</v>
      </c>
      <c r="J110" s="152">
        <v>13.830911213086168</v>
      </c>
      <c r="K110" s="138">
        <v>13.994531666666667</v>
      </c>
      <c r="L110" s="134">
        <v>3.9889196675900278</v>
      </c>
      <c r="M110" s="138">
        <v>3.006263048016701</v>
      </c>
      <c r="N110" s="138">
        <v>34.029764572671624</v>
      </c>
      <c r="O110" s="152">
        <v>5.1456461731738905</v>
      </c>
      <c r="P110" s="152" t="s">
        <v>248</v>
      </c>
      <c r="Q110" s="138">
        <v>3.0142338822216019</v>
      </c>
      <c r="R110" s="134">
        <v>4.4726838122604198</v>
      </c>
      <c r="S110" s="138">
        <v>6.6682876261250605</v>
      </c>
      <c r="T110" s="152">
        <v>23.470621109008789</v>
      </c>
      <c r="U110" s="138">
        <v>7</v>
      </c>
      <c r="V110" s="138">
        <v>8.5761690000000002</v>
      </c>
      <c r="W110" s="138">
        <v>1.9889502762430937</v>
      </c>
      <c r="X110" s="138">
        <v>9.050279329608939</v>
      </c>
      <c r="Y110" s="138">
        <v>4.002779708130646</v>
      </c>
      <c r="Z110" s="138">
        <v>8.4045459999999999</v>
      </c>
      <c r="AA110" s="138">
        <v>4.5379623174546602</v>
      </c>
      <c r="AB110" s="138">
        <v>2.0092284713466917</v>
      </c>
      <c r="AC110" s="152">
        <v>7.6630509596293033</v>
      </c>
      <c r="AD110" s="138">
        <v>6.0985611482289173</v>
      </c>
      <c r="AE110" s="140"/>
      <c r="AF110" s="138">
        <v>2</v>
      </c>
      <c r="AG110" s="138">
        <v>3.3635429294838408</v>
      </c>
      <c r="AH110" s="138">
        <v>4.5872419999999998</v>
      </c>
    </row>
    <row r="111" spans="1:481">
      <c r="A111" s="150">
        <v>4.3</v>
      </c>
      <c r="B111" s="151" t="s">
        <v>27</v>
      </c>
      <c r="C111" s="134">
        <v>10</v>
      </c>
      <c r="D111" s="134">
        <v>82.644869999999997</v>
      </c>
      <c r="E111" s="134">
        <v>82.942401110340043</v>
      </c>
      <c r="F111" s="134">
        <v>53.938675939768515</v>
      </c>
      <c r="G111" s="138">
        <v>87.451167879874333</v>
      </c>
      <c r="H111" s="138">
        <v>39.715519617481029</v>
      </c>
      <c r="I111" s="138">
        <v>59.555340000000001</v>
      </c>
      <c r="J111" s="152">
        <v>58.05845509221033</v>
      </c>
      <c r="K111" s="138">
        <v>63.219650000000001</v>
      </c>
      <c r="L111" s="134">
        <v>56.84210526315789</v>
      </c>
      <c r="M111" s="138">
        <v>44.091858037578291</v>
      </c>
      <c r="N111" s="138">
        <v>55.558550468499675</v>
      </c>
      <c r="O111" s="152">
        <v>57.822766851625943</v>
      </c>
      <c r="P111" s="152">
        <v>18.8651285186465</v>
      </c>
      <c r="Q111" s="138">
        <v>48.227742115545631</v>
      </c>
      <c r="R111" s="134">
        <v>35.18567963548</v>
      </c>
      <c r="S111" s="138">
        <v>49.262367297390696</v>
      </c>
      <c r="T111" s="152">
        <v>95.684547424316406</v>
      </c>
      <c r="U111" s="138">
        <v>77</v>
      </c>
      <c r="V111" s="138">
        <v>68.73312</v>
      </c>
      <c r="W111" s="138">
        <v>45.745856353591165</v>
      </c>
      <c r="X111" s="138">
        <v>35.195530726256983</v>
      </c>
      <c r="Y111" s="138">
        <v>61.042390548992351</v>
      </c>
      <c r="Z111" s="138">
        <v>48.576279999999997</v>
      </c>
      <c r="AA111" s="138">
        <v>31.547925350537817</v>
      </c>
      <c r="AB111" s="138">
        <v>74.458479217868302</v>
      </c>
      <c r="AC111" s="152">
        <v>52.682351806029516</v>
      </c>
      <c r="AD111" s="138">
        <v>45.906541115783988</v>
      </c>
      <c r="AE111" s="140"/>
      <c r="AF111" s="138">
        <v>24</v>
      </c>
      <c r="AG111" s="138">
        <v>63.786493900199432</v>
      </c>
      <c r="AH111" s="138">
        <v>74.082300000000004</v>
      </c>
    </row>
    <row r="112" spans="1:481">
      <c r="A112" s="150">
        <v>4.4000000000000004</v>
      </c>
      <c r="B112" s="151" t="s">
        <v>28</v>
      </c>
      <c r="C112" s="134">
        <v>122.99999999999999</v>
      </c>
      <c r="D112" s="134">
        <v>100.5009</v>
      </c>
      <c r="E112" s="134">
        <v>134.90631505898682</v>
      </c>
      <c r="F112" s="134">
        <v>100.21170651389396</v>
      </c>
      <c r="G112" s="138">
        <v>114.7537879426215</v>
      </c>
      <c r="H112" s="138">
        <v>107.01054392338077</v>
      </c>
      <c r="I112" s="138">
        <v>100.8372</v>
      </c>
      <c r="J112" s="152">
        <v>103.57450908434755</v>
      </c>
      <c r="K112" s="138">
        <v>111.03533333333333</v>
      </c>
      <c r="L112" s="134">
        <v>144.5983379501385</v>
      </c>
      <c r="M112" s="138">
        <v>158.32985386221296</v>
      </c>
      <c r="N112" s="138">
        <v>76.163654927967329</v>
      </c>
      <c r="O112" s="152">
        <v>90.276009796563685</v>
      </c>
      <c r="P112" s="152">
        <v>97.450758884665476</v>
      </c>
      <c r="Q112" s="138">
        <v>119.56461066145688</v>
      </c>
      <c r="R112" s="134">
        <v>108.37383838177544</v>
      </c>
      <c r="S112" s="138">
        <v>58.158517682469721</v>
      </c>
      <c r="T112" s="152">
        <v>83.571273803710938</v>
      </c>
      <c r="U112" s="138">
        <v>118</v>
      </c>
      <c r="V112" s="138">
        <v>115.6138</v>
      </c>
      <c r="W112" s="138">
        <v>123.31491712707182</v>
      </c>
      <c r="X112" s="138">
        <v>103.07262569832402</v>
      </c>
      <c r="Y112" s="138">
        <v>106.07366226546213</v>
      </c>
      <c r="Z112" s="138">
        <v>118.14190000000001</v>
      </c>
      <c r="AA112" s="138">
        <v>88.694176812515394</v>
      </c>
      <c r="AB112" s="138">
        <v>128.27152014463434</v>
      </c>
      <c r="AC112" s="152">
        <v>121.84243699019314</v>
      </c>
      <c r="AD112" s="138">
        <v>132.13210321154418</v>
      </c>
      <c r="AE112" s="140"/>
      <c r="AF112" s="138">
        <v>122</v>
      </c>
      <c r="AG112" s="138">
        <v>54.408020280092366</v>
      </c>
      <c r="AH112" s="138">
        <v>125.4392</v>
      </c>
    </row>
    <row r="113" spans="1:481">
      <c r="A113" s="150">
        <v>4.5</v>
      </c>
      <c r="B113" s="151" t="s">
        <v>29</v>
      </c>
      <c r="C113" s="134">
        <v>114</v>
      </c>
      <c r="D113" s="134">
        <v>52.20234</v>
      </c>
      <c r="E113" s="134">
        <v>115.91950034698127</v>
      </c>
      <c r="F113" s="134">
        <v>83.290640118970913</v>
      </c>
      <c r="G113" s="138">
        <v>89.643263728035336</v>
      </c>
      <c r="H113" s="138">
        <v>100.07900091304808</v>
      </c>
      <c r="I113" s="138">
        <v>99.480869999999996</v>
      </c>
      <c r="J113" s="152">
        <v>87.060037635890794</v>
      </c>
      <c r="K113" s="138">
        <v>102.99831666666667</v>
      </c>
      <c r="L113" s="134">
        <v>92.742382271468131</v>
      </c>
      <c r="M113" s="138">
        <v>34.070981210855948</v>
      </c>
      <c r="N113" s="138">
        <v>106.60137232749172</v>
      </c>
      <c r="O113" s="152">
        <v>94.947270096190408</v>
      </c>
      <c r="P113" s="152">
        <v>128.11605220488556</v>
      </c>
      <c r="Q113" s="138">
        <v>74.351102428132847</v>
      </c>
      <c r="R113" s="134">
        <v>80.786906501798896</v>
      </c>
      <c r="S113" s="138">
        <v>40.65601780155837</v>
      </c>
      <c r="T113" s="152">
        <v>67.953948974609375</v>
      </c>
      <c r="U113" s="138">
        <v>79</v>
      </c>
      <c r="V113" s="138">
        <v>152.1002</v>
      </c>
      <c r="W113" s="138">
        <v>66.629834254143645</v>
      </c>
      <c r="X113" s="138">
        <v>46.424581005586589</v>
      </c>
      <c r="Y113" s="138">
        <v>84.05837387074358</v>
      </c>
      <c r="Z113" s="138">
        <v>71.962239999999994</v>
      </c>
      <c r="AA113" s="138">
        <v>131.09726059229553</v>
      </c>
      <c r="AB113" s="138">
        <v>60.585525790437913</v>
      </c>
      <c r="AC113" s="152">
        <v>86.984626932631329</v>
      </c>
      <c r="AD113" s="138">
        <v>61.987351506637012</v>
      </c>
      <c r="AE113" s="140"/>
      <c r="AF113" s="138">
        <v>41</v>
      </c>
      <c r="AG113" s="138">
        <v>98.008033013294067</v>
      </c>
      <c r="AH113" s="138">
        <v>76.108239999999995</v>
      </c>
    </row>
    <row r="114" spans="1:481" s="149" customFormat="1">
      <c r="A114" s="145">
        <v>5</v>
      </c>
      <c r="B114" s="146" t="s">
        <v>30</v>
      </c>
      <c r="C114" s="171">
        <v>22</v>
      </c>
      <c r="D114" s="171">
        <v>7.2275580000000001</v>
      </c>
      <c r="E114" s="171">
        <v>4.9965301873698822</v>
      </c>
      <c r="F114" s="171">
        <v>35.634061432118351</v>
      </c>
      <c r="G114" s="147">
        <v>9.6142049437790345</v>
      </c>
      <c r="H114" s="147">
        <v>4.4668403200515483</v>
      </c>
      <c r="I114" s="147">
        <v>40.008616000000004</v>
      </c>
      <c r="J114" s="154">
        <v>9.9747168748657931</v>
      </c>
      <c r="K114" s="147">
        <v>17.837325</v>
      </c>
      <c r="L114" s="171">
        <v>9</v>
      </c>
      <c r="M114" s="147">
        <v>2.0041753653444676</v>
      </c>
      <c r="N114" s="147">
        <v>28.055536665150854</v>
      </c>
      <c r="O114" s="148">
        <v>14.294777194752101</v>
      </c>
      <c r="P114" s="148">
        <v>50.915844873873603</v>
      </c>
      <c r="Q114" s="147">
        <v>17.08065866592241</v>
      </c>
      <c r="R114" s="171">
        <v>5.3358333198896233</v>
      </c>
      <c r="S114" s="147">
        <v>23.014448092219538</v>
      </c>
      <c r="T114" s="148">
        <v>33.307933807373047</v>
      </c>
      <c r="U114" s="147">
        <v>19</v>
      </c>
      <c r="V114" s="147">
        <v>4.9389900000000004</v>
      </c>
      <c r="W114" s="147">
        <v>55.690607734806626</v>
      </c>
      <c r="X114" s="147">
        <v>7.039106145251397</v>
      </c>
      <c r="Y114" s="147">
        <v>6.004169562195969</v>
      </c>
      <c r="Z114" s="147">
        <v>13.180323</v>
      </c>
      <c r="AA114" s="147">
        <v>75.55034052333184</v>
      </c>
      <c r="AB114" s="147">
        <v>47.130919219530831</v>
      </c>
      <c r="AC114" s="154">
        <v>35.057837464993824</v>
      </c>
      <c r="AD114" s="147">
        <v>27.106250658832483</v>
      </c>
      <c r="AE114" s="221"/>
      <c r="AF114" s="147">
        <v>12</v>
      </c>
      <c r="AG114" s="147">
        <v>12.552157820664268</v>
      </c>
      <c r="AH114" s="147">
        <v>18.698800799999997</v>
      </c>
      <c r="AI114" s="86"/>
      <c r="AJ114" s="86"/>
      <c r="AK114" s="86"/>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c r="BZ114" s="86"/>
      <c r="CA114" s="86"/>
      <c r="CB114" s="86"/>
      <c r="CC114" s="86"/>
      <c r="CD114" s="86"/>
      <c r="CE114" s="86"/>
      <c r="CF114" s="86"/>
      <c r="CG114" s="86"/>
      <c r="CH114" s="86"/>
      <c r="CI114" s="86"/>
      <c r="CJ114" s="86"/>
      <c r="CK114" s="86"/>
      <c r="CL114" s="86"/>
      <c r="CM114" s="86"/>
      <c r="CN114" s="86"/>
      <c r="CO114" s="86"/>
      <c r="CP114" s="86"/>
      <c r="CQ114" s="86"/>
      <c r="CR114" s="86"/>
      <c r="CS114" s="86"/>
      <c r="CT114" s="86"/>
      <c r="CU114" s="86"/>
      <c r="CV114" s="86"/>
      <c r="CW114" s="86"/>
      <c r="CX114" s="86"/>
      <c r="CY114" s="86"/>
      <c r="CZ114" s="86"/>
      <c r="DA114" s="86"/>
      <c r="DB114" s="86"/>
      <c r="DC114" s="86"/>
      <c r="DD114" s="86"/>
      <c r="DE114" s="86"/>
      <c r="DF114" s="86"/>
      <c r="DG114" s="86"/>
      <c r="DH114" s="86"/>
      <c r="DI114" s="86"/>
      <c r="DJ114" s="86"/>
      <c r="DK114" s="86"/>
      <c r="DL114" s="86"/>
      <c r="DM114" s="86"/>
      <c r="DN114" s="86"/>
      <c r="DO114" s="86"/>
      <c r="DP114" s="86"/>
      <c r="DQ114" s="86"/>
      <c r="DR114" s="86"/>
      <c r="DS114" s="86"/>
      <c r="DT114" s="86"/>
      <c r="DU114" s="86"/>
      <c r="DV114" s="86"/>
      <c r="DW114" s="86"/>
      <c r="DX114" s="86"/>
      <c r="DY114" s="86"/>
      <c r="DZ114" s="86"/>
      <c r="EA114" s="86"/>
      <c r="EB114" s="86"/>
      <c r="EC114" s="86"/>
      <c r="ED114" s="86"/>
      <c r="EE114" s="86"/>
      <c r="EF114" s="86"/>
      <c r="EG114" s="86"/>
      <c r="EH114" s="86"/>
      <c r="EI114" s="86"/>
      <c r="EJ114" s="86"/>
      <c r="EK114" s="86"/>
      <c r="EL114" s="86"/>
      <c r="EM114" s="86"/>
      <c r="EN114" s="86"/>
      <c r="EO114" s="86"/>
      <c r="EP114" s="86"/>
      <c r="EQ114" s="86"/>
      <c r="ER114" s="86"/>
      <c r="ES114" s="86"/>
      <c r="ET114" s="86"/>
      <c r="EU114" s="86"/>
      <c r="EV114" s="86"/>
      <c r="EW114" s="86"/>
      <c r="EX114" s="86"/>
      <c r="EY114" s="86"/>
      <c r="EZ114" s="86"/>
      <c r="FA114" s="86"/>
      <c r="FB114" s="86"/>
      <c r="FC114" s="86"/>
      <c r="FD114" s="86"/>
      <c r="FE114" s="86"/>
      <c r="FF114" s="86"/>
      <c r="FG114" s="86"/>
      <c r="FH114" s="86"/>
      <c r="FI114" s="86"/>
      <c r="FJ114" s="86"/>
      <c r="FK114" s="86"/>
      <c r="FL114" s="86"/>
      <c r="FM114" s="86"/>
      <c r="FN114" s="86"/>
      <c r="FO114" s="86"/>
      <c r="FP114" s="86"/>
      <c r="FQ114" s="86"/>
      <c r="FR114" s="86"/>
      <c r="FS114" s="86"/>
      <c r="FT114" s="86"/>
      <c r="FU114" s="86"/>
      <c r="FV114" s="86"/>
      <c r="FW114" s="86"/>
      <c r="FX114" s="86"/>
      <c r="FY114" s="86"/>
      <c r="FZ114" s="86"/>
      <c r="GA114" s="86"/>
      <c r="GB114" s="86"/>
      <c r="GC114" s="86"/>
      <c r="GD114" s="86"/>
      <c r="GE114" s="86"/>
      <c r="GF114" s="86"/>
      <c r="GG114" s="86"/>
      <c r="GH114" s="86"/>
      <c r="GI114" s="86"/>
      <c r="GJ114" s="86"/>
      <c r="GK114" s="86"/>
      <c r="GL114" s="86"/>
      <c r="GM114" s="86"/>
      <c r="GN114" s="86"/>
      <c r="GO114" s="86"/>
      <c r="GP114" s="86"/>
      <c r="GQ114" s="86"/>
      <c r="GR114" s="86"/>
      <c r="GS114" s="86"/>
      <c r="GT114" s="86"/>
      <c r="GU114" s="86"/>
      <c r="GV114" s="86"/>
      <c r="GW114" s="86"/>
      <c r="GX114" s="86"/>
      <c r="GY114" s="86"/>
      <c r="GZ114" s="86"/>
      <c r="HA114" s="86"/>
      <c r="HB114" s="86"/>
      <c r="HC114" s="86"/>
      <c r="HD114" s="86"/>
      <c r="HE114" s="86"/>
      <c r="HF114" s="86"/>
      <c r="HG114" s="86"/>
      <c r="HH114" s="86"/>
      <c r="HI114" s="86"/>
      <c r="HJ114" s="86"/>
      <c r="HK114" s="86"/>
      <c r="HL114" s="86"/>
      <c r="HM114" s="86"/>
      <c r="HN114" s="86"/>
      <c r="HO114" s="86"/>
      <c r="HP114" s="86"/>
      <c r="HQ114" s="86"/>
      <c r="HR114" s="86"/>
      <c r="HS114" s="86"/>
      <c r="HT114" s="86"/>
      <c r="HU114" s="86"/>
      <c r="HV114" s="86"/>
      <c r="HW114" s="86"/>
      <c r="HX114" s="86"/>
      <c r="HY114" s="86"/>
      <c r="HZ114" s="86"/>
      <c r="IA114" s="86"/>
      <c r="IB114" s="86"/>
      <c r="IC114" s="86"/>
      <c r="ID114" s="86"/>
      <c r="IE114" s="86"/>
      <c r="IF114" s="86"/>
      <c r="IG114" s="86"/>
      <c r="IH114" s="86"/>
      <c r="II114" s="86"/>
      <c r="IJ114" s="86"/>
      <c r="IK114" s="86"/>
      <c r="IL114" s="86"/>
      <c r="IM114" s="86"/>
      <c r="IN114" s="86"/>
      <c r="IO114" s="86"/>
      <c r="IP114" s="86"/>
      <c r="IQ114" s="86"/>
      <c r="IR114" s="86"/>
      <c r="IS114" s="86"/>
      <c r="IT114" s="86"/>
      <c r="IU114" s="86"/>
      <c r="IV114" s="86"/>
      <c r="IW114" s="86"/>
      <c r="IX114" s="86"/>
      <c r="IY114" s="86"/>
      <c r="IZ114" s="86"/>
      <c r="JA114" s="86"/>
      <c r="JB114" s="86"/>
      <c r="JC114" s="86"/>
      <c r="JD114" s="86"/>
      <c r="JE114" s="86"/>
      <c r="JF114" s="86"/>
      <c r="JG114" s="86"/>
      <c r="JH114" s="86"/>
      <c r="JI114" s="86"/>
      <c r="JJ114" s="86"/>
      <c r="JK114" s="86"/>
      <c r="JL114" s="86"/>
      <c r="JM114" s="86"/>
      <c r="JN114" s="86"/>
      <c r="JO114" s="86"/>
      <c r="JP114" s="86"/>
      <c r="JQ114" s="86"/>
      <c r="JR114" s="86"/>
      <c r="JS114" s="86"/>
      <c r="JT114" s="86"/>
      <c r="JU114" s="86"/>
      <c r="JV114" s="86"/>
      <c r="JW114" s="86"/>
      <c r="JX114" s="86"/>
      <c r="JY114" s="86"/>
      <c r="JZ114" s="86"/>
      <c r="KA114" s="86"/>
      <c r="KB114" s="86"/>
      <c r="KC114" s="86"/>
      <c r="KD114" s="86"/>
      <c r="KE114" s="86"/>
      <c r="KF114" s="86"/>
      <c r="KG114" s="86"/>
      <c r="KH114" s="86"/>
      <c r="KI114" s="86"/>
      <c r="KJ114" s="86"/>
      <c r="KK114" s="86"/>
      <c r="KL114" s="86"/>
      <c r="KM114" s="86"/>
      <c r="KN114" s="86"/>
      <c r="KO114" s="86"/>
      <c r="KP114" s="86"/>
      <c r="KQ114" s="86"/>
      <c r="KR114" s="86"/>
      <c r="KS114" s="86"/>
      <c r="KT114" s="86"/>
      <c r="KU114" s="86"/>
      <c r="KV114" s="86"/>
      <c r="KW114" s="86"/>
      <c r="KX114" s="86"/>
      <c r="KY114" s="86"/>
      <c r="KZ114" s="86"/>
      <c r="LA114" s="86"/>
      <c r="LB114" s="86"/>
      <c r="LC114" s="86"/>
      <c r="LD114" s="86"/>
      <c r="LE114" s="86"/>
      <c r="LF114" s="86"/>
      <c r="LG114" s="86"/>
      <c r="LH114" s="86"/>
      <c r="LI114" s="86"/>
      <c r="LJ114" s="86"/>
      <c r="LK114" s="86"/>
      <c r="LL114" s="86"/>
      <c r="LM114" s="86"/>
      <c r="LN114" s="86"/>
      <c r="LO114" s="86"/>
      <c r="LP114" s="86"/>
      <c r="LQ114" s="86"/>
      <c r="LR114" s="86"/>
      <c r="LS114" s="86"/>
      <c r="LT114" s="86"/>
      <c r="LU114" s="86"/>
      <c r="LV114" s="86"/>
      <c r="LW114" s="86"/>
      <c r="LX114" s="86"/>
      <c r="LY114" s="86"/>
      <c r="LZ114" s="86"/>
      <c r="MA114" s="86"/>
      <c r="MB114" s="86"/>
      <c r="MC114" s="86"/>
      <c r="MD114" s="86"/>
      <c r="ME114" s="86"/>
      <c r="MF114" s="86"/>
      <c r="MG114" s="86"/>
      <c r="MH114" s="86"/>
      <c r="MI114" s="86"/>
      <c r="MJ114" s="86"/>
      <c r="MK114" s="86"/>
      <c r="ML114" s="86"/>
      <c r="MM114" s="86"/>
      <c r="MN114" s="86"/>
      <c r="MO114" s="86"/>
      <c r="MP114" s="86"/>
      <c r="MQ114" s="86"/>
      <c r="MR114" s="86"/>
      <c r="MS114" s="86"/>
      <c r="MT114" s="86"/>
      <c r="MU114" s="86"/>
      <c r="MV114" s="86"/>
      <c r="MW114" s="86"/>
      <c r="MX114" s="86"/>
      <c r="MY114" s="86"/>
      <c r="MZ114" s="86"/>
      <c r="NA114" s="86"/>
      <c r="NB114" s="86"/>
      <c r="NC114" s="86"/>
      <c r="ND114" s="86"/>
      <c r="NE114" s="86"/>
      <c r="NF114" s="86"/>
      <c r="NG114" s="86"/>
      <c r="NH114" s="86"/>
      <c r="NI114" s="86"/>
      <c r="NJ114" s="86"/>
      <c r="NK114" s="86"/>
      <c r="NL114" s="86"/>
      <c r="NM114" s="86"/>
      <c r="NN114" s="86"/>
      <c r="NO114" s="86"/>
      <c r="NP114" s="86"/>
      <c r="NQ114" s="86"/>
      <c r="NR114" s="86"/>
      <c r="NS114" s="86"/>
      <c r="NT114" s="86"/>
      <c r="NU114" s="86"/>
      <c r="NV114" s="86"/>
      <c r="NW114" s="86"/>
      <c r="NX114" s="86"/>
      <c r="NY114" s="86"/>
      <c r="NZ114" s="86"/>
      <c r="OA114" s="86"/>
      <c r="OB114" s="86"/>
      <c r="OC114" s="86"/>
      <c r="OD114" s="86"/>
      <c r="OE114" s="86"/>
      <c r="OF114" s="86"/>
      <c r="OG114" s="86"/>
      <c r="OH114" s="86"/>
      <c r="OI114" s="86"/>
      <c r="OJ114" s="86"/>
      <c r="OK114" s="86"/>
      <c r="OL114" s="86"/>
      <c r="OM114" s="86"/>
      <c r="ON114" s="86"/>
      <c r="OO114" s="86"/>
      <c r="OP114" s="86"/>
      <c r="OQ114" s="86"/>
      <c r="OR114" s="86"/>
      <c r="OS114" s="86"/>
      <c r="OT114" s="86"/>
      <c r="OU114" s="86"/>
      <c r="OV114" s="86"/>
      <c r="OW114" s="86"/>
      <c r="OX114" s="86"/>
      <c r="OY114" s="86"/>
      <c r="OZ114" s="86"/>
      <c r="PA114" s="86"/>
      <c r="PB114" s="86"/>
      <c r="PC114" s="86"/>
      <c r="PD114" s="86"/>
      <c r="PE114" s="86"/>
      <c r="PF114" s="86"/>
      <c r="PG114" s="86"/>
      <c r="PH114" s="86"/>
      <c r="PI114" s="86"/>
      <c r="PJ114" s="86"/>
      <c r="PK114" s="86"/>
      <c r="PL114" s="86"/>
      <c r="PM114" s="86"/>
      <c r="PN114" s="86"/>
      <c r="PO114" s="86"/>
      <c r="PP114" s="86"/>
      <c r="PQ114" s="86"/>
      <c r="PR114" s="86"/>
      <c r="PS114" s="86"/>
      <c r="PT114" s="86"/>
      <c r="PU114" s="86"/>
      <c r="PV114" s="86"/>
      <c r="PW114" s="86"/>
      <c r="PX114" s="86"/>
      <c r="PY114" s="86"/>
      <c r="PZ114" s="86"/>
      <c r="QA114" s="86"/>
      <c r="QB114" s="86"/>
      <c r="QC114" s="86"/>
      <c r="QD114" s="86"/>
      <c r="QE114" s="86"/>
      <c r="QF114" s="86"/>
      <c r="QG114" s="86"/>
      <c r="QH114" s="86"/>
      <c r="QI114" s="86"/>
      <c r="QJ114" s="86"/>
      <c r="QK114" s="86"/>
      <c r="QL114" s="86"/>
      <c r="QM114" s="86"/>
      <c r="QN114" s="86"/>
      <c r="QO114" s="86"/>
      <c r="QP114" s="86"/>
      <c r="QQ114" s="86"/>
      <c r="QR114" s="86"/>
      <c r="QS114" s="86"/>
      <c r="QT114" s="86"/>
      <c r="QU114" s="86"/>
      <c r="QV114" s="86"/>
      <c r="QW114" s="86"/>
      <c r="QX114" s="86"/>
      <c r="QY114" s="86"/>
      <c r="QZ114" s="86"/>
      <c r="RA114" s="86"/>
      <c r="RB114" s="86"/>
      <c r="RC114" s="86"/>
      <c r="RD114" s="86"/>
      <c r="RE114" s="86"/>
      <c r="RF114" s="86"/>
      <c r="RG114" s="86"/>
      <c r="RH114" s="86"/>
      <c r="RI114" s="86"/>
      <c r="RJ114" s="86"/>
      <c r="RK114" s="86"/>
      <c r="RL114" s="86"/>
      <c r="RM114" s="86"/>
    </row>
    <row r="115" spans="1:481">
      <c r="A115" s="150">
        <v>5.0999999999999996</v>
      </c>
      <c r="B115" s="153" t="s">
        <v>31</v>
      </c>
      <c r="C115" s="134">
        <v>15</v>
      </c>
      <c r="D115" s="134">
        <v>2.1837780000000002</v>
      </c>
      <c r="E115" s="134" t="s">
        <v>248</v>
      </c>
      <c r="F115" s="134">
        <v>4.6519873381180705</v>
      </c>
      <c r="G115" s="138">
        <v>5.1719129595480311</v>
      </c>
      <c r="H115" s="138">
        <v>1.6181599682022052</v>
      </c>
      <c r="I115" s="138">
        <v>1.1416459999999999</v>
      </c>
      <c r="J115" s="152">
        <v>2.9996872630975702</v>
      </c>
      <c r="K115" s="138">
        <v>2.7406983333333335</v>
      </c>
      <c r="L115" s="134">
        <v>5.9833795013850422</v>
      </c>
      <c r="M115" s="138">
        <v>2.0041753653444676</v>
      </c>
      <c r="N115" s="138">
        <v>6.4274336256281588</v>
      </c>
      <c r="O115" s="152">
        <v>8.1758564263189335</v>
      </c>
      <c r="P115" s="152" t="s">
        <v>248</v>
      </c>
      <c r="Q115" s="138">
        <v>15.071169411108009</v>
      </c>
      <c r="R115" s="134">
        <v>2.7665417496405582</v>
      </c>
      <c r="S115" s="138">
        <v>22.002132977371858</v>
      </c>
      <c r="T115" s="152">
        <v>6.206244945526123</v>
      </c>
      <c r="U115" s="138">
        <v>10</v>
      </c>
      <c r="V115" s="138">
        <v>2.1656110000000002</v>
      </c>
      <c r="W115" s="138">
        <v>13.922651933701657</v>
      </c>
      <c r="X115" s="138">
        <v>6.033519553072626</v>
      </c>
      <c r="Y115" s="138">
        <v>4.002779708130646</v>
      </c>
      <c r="Z115" s="138">
        <v>4.3492350000000002</v>
      </c>
      <c r="AA115" s="138" t="s">
        <v>248</v>
      </c>
      <c r="AB115" s="138" t="s">
        <v>248</v>
      </c>
      <c r="AC115" s="152">
        <v>4.9716903101558998</v>
      </c>
      <c r="AD115" s="138">
        <v>10.790850262277612</v>
      </c>
      <c r="AE115" s="140"/>
      <c r="AF115" s="138" t="s">
        <v>248</v>
      </c>
      <c r="AG115" s="138">
        <v>12.552157820664268</v>
      </c>
      <c r="AH115" s="138">
        <v>18.697299999999998</v>
      </c>
    </row>
    <row r="116" spans="1:481">
      <c r="A116" s="156">
        <v>5.2</v>
      </c>
      <c r="B116" s="157" t="s">
        <v>32</v>
      </c>
      <c r="C116" s="172">
        <v>7.0000000000000018</v>
      </c>
      <c r="D116" s="172">
        <v>5.0437799999999999</v>
      </c>
      <c r="E116" s="172">
        <v>4.9965301873698822</v>
      </c>
      <c r="F116" s="172">
        <v>30.982074094000282</v>
      </c>
      <c r="G116" s="144">
        <v>4.4422919842310016</v>
      </c>
      <c r="H116" s="144">
        <v>2.8486803518493433</v>
      </c>
      <c r="I116" s="144">
        <v>38.866970000000002</v>
      </c>
      <c r="J116" s="152">
        <v>6.975029611768222</v>
      </c>
      <c r="K116" s="138">
        <v>15.096626666666667</v>
      </c>
      <c r="L116" s="172">
        <v>3</v>
      </c>
      <c r="M116" s="138" t="s">
        <v>248</v>
      </c>
      <c r="N116" s="138">
        <v>21.628103039522692</v>
      </c>
      <c r="O116" s="152">
        <v>6.1189207684331679</v>
      </c>
      <c r="P116" s="152">
        <v>50.915844873873638</v>
      </c>
      <c r="Q116" s="144">
        <v>2.0094892548144014</v>
      </c>
      <c r="R116" s="172">
        <v>2.5692915702490646</v>
      </c>
      <c r="S116" s="144">
        <v>1.0123151148476812</v>
      </c>
      <c r="T116" s="152">
        <v>27.101690292358398</v>
      </c>
      <c r="U116" s="144">
        <v>9</v>
      </c>
      <c r="V116" s="144">
        <v>2.7733789999999998</v>
      </c>
      <c r="W116" s="144">
        <v>41.767955801104968</v>
      </c>
      <c r="X116" s="144">
        <v>1.005586592178771</v>
      </c>
      <c r="Y116" s="144">
        <v>2.001389854065323</v>
      </c>
      <c r="Z116" s="144">
        <v>8.8310879999999994</v>
      </c>
      <c r="AA116" s="144" t="s">
        <v>248</v>
      </c>
      <c r="AB116" s="144">
        <v>47.130919219530831</v>
      </c>
      <c r="AC116" s="169">
        <v>30.086147154837921</v>
      </c>
      <c r="AD116" s="144">
        <v>16.315400396554871</v>
      </c>
      <c r="AE116" s="140"/>
      <c r="AF116" s="144">
        <v>12</v>
      </c>
      <c r="AG116" s="138" t="s">
        <v>248</v>
      </c>
      <c r="AH116" s="144" t="s">
        <v>248</v>
      </c>
    </row>
    <row r="117" spans="1:481" s="149" customFormat="1">
      <c r="A117" s="145" t="s">
        <v>2</v>
      </c>
      <c r="B117" s="146" t="s">
        <v>33</v>
      </c>
      <c r="C117" s="171">
        <v>1440</v>
      </c>
      <c r="D117" s="171">
        <v>1440.2147135</v>
      </c>
      <c r="E117" s="171">
        <v>1440</v>
      </c>
      <c r="F117" s="171">
        <v>1440</v>
      </c>
      <c r="G117" s="147">
        <v>1440</v>
      </c>
      <c r="H117" s="147">
        <v>1439.6875667872612</v>
      </c>
      <c r="I117" s="147">
        <v>1440.0000210000001</v>
      </c>
      <c r="J117" s="158">
        <v>1440</v>
      </c>
      <c r="K117" s="158">
        <v>1439.9999461666666</v>
      </c>
      <c r="L117" s="171">
        <v>1440</v>
      </c>
      <c r="M117" s="158">
        <v>1440</v>
      </c>
      <c r="N117" s="158">
        <v>1440</v>
      </c>
      <c r="O117" s="158">
        <v>1440</v>
      </c>
      <c r="P117" s="158">
        <v>1439.85168683045</v>
      </c>
      <c r="Q117" s="147">
        <v>1440</v>
      </c>
      <c r="R117" s="171">
        <v>1440.0000000000002</v>
      </c>
      <c r="S117" s="147">
        <v>1440</v>
      </c>
      <c r="T117" s="159">
        <v>1440</v>
      </c>
      <c r="U117" s="147">
        <v>1440</v>
      </c>
      <c r="V117" s="147">
        <v>1440.000078</v>
      </c>
      <c r="W117" s="147">
        <v>1440</v>
      </c>
      <c r="X117" s="147">
        <v>1440</v>
      </c>
      <c r="Y117" s="147">
        <v>1440</v>
      </c>
      <c r="Z117" s="147">
        <v>1439.6097141</v>
      </c>
      <c r="AA117" s="147">
        <v>1440</v>
      </c>
      <c r="AB117" s="147">
        <v>1440.0000000000002</v>
      </c>
      <c r="AC117" s="147">
        <v>1440</v>
      </c>
      <c r="AD117" s="147">
        <v>1440</v>
      </c>
      <c r="AE117" s="221"/>
      <c r="AF117" s="147">
        <v>1440</v>
      </c>
      <c r="AG117" s="158">
        <v>1440</v>
      </c>
      <c r="AH117" s="147">
        <v>1440</v>
      </c>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6"/>
      <c r="BQ117" s="86"/>
      <c r="BR117" s="86"/>
      <c r="BS117" s="86"/>
      <c r="BT117" s="86"/>
      <c r="BU117" s="86"/>
      <c r="BV117" s="86"/>
      <c r="BW117" s="86"/>
      <c r="BX117" s="86"/>
      <c r="BY117" s="86"/>
      <c r="BZ117" s="86"/>
      <c r="CA117" s="86"/>
      <c r="CB117" s="86"/>
      <c r="CC117" s="86"/>
      <c r="CD117" s="86"/>
      <c r="CE117" s="86"/>
      <c r="CF117" s="86"/>
      <c r="CG117" s="86"/>
      <c r="CH117" s="86"/>
      <c r="CI117" s="86"/>
      <c r="CJ117" s="86"/>
      <c r="CK117" s="86"/>
      <c r="CL117" s="86"/>
      <c r="CM117" s="86"/>
      <c r="CN117" s="86"/>
      <c r="CO117" s="86"/>
      <c r="CP117" s="86"/>
      <c r="CQ117" s="86"/>
      <c r="CR117" s="86"/>
      <c r="CS117" s="86"/>
      <c r="CT117" s="86"/>
      <c r="CU117" s="86"/>
      <c r="CV117" s="86"/>
      <c r="CW117" s="86"/>
      <c r="CX117" s="86"/>
      <c r="CY117" s="86"/>
      <c r="CZ117" s="86"/>
      <c r="DA117" s="86"/>
      <c r="DB117" s="86"/>
      <c r="DC117" s="86"/>
      <c r="DD117" s="86"/>
      <c r="DE117" s="86"/>
      <c r="DF117" s="86"/>
      <c r="DG117" s="86"/>
      <c r="DH117" s="86"/>
      <c r="DI117" s="86"/>
      <c r="DJ117" s="86"/>
      <c r="DK117" s="86"/>
      <c r="DL117" s="86"/>
      <c r="DM117" s="86"/>
      <c r="DN117" s="86"/>
      <c r="DO117" s="86"/>
      <c r="DP117" s="86"/>
      <c r="DQ117" s="86"/>
      <c r="DR117" s="86"/>
      <c r="DS117" s="86"/>
      <c r="DT117" s="86"/>
      <c r="DU117" s="86"/>
      <c r="DV117" s="86"/>
      <c r="DW117" s="86"/>
      <c r="DX117" s="86"/>
      <c r="DY117" s="86"/>
      <c r="DZ117" s="86"/>
      <c r="EA117" s="86"/>
      <c r="EB117" s="86"/>
      <c r="EC117" s="86"/>
      <c r="ED117" s="86"/>
      <c r="EE117" s="86"/>
      <c r="EF117" s="86"/>
      <c r="EG117" s="86"/>
      <c r="EH117" s="86"/>
      <c r="EI117" s="86"/>
      <c r="EJ117" s="86"/>
      <c r="EK117" s="86"/>
      <c r="EL117" s="86"/>
      <c r="EM117" s="86"/>
      <c r="EN117" s="86"/>
      <c r="EO117" s="86"/>
      <c r="EP117" s="86"/>
      <c r="EQ117" s="86"/>
      <c r="ER117" s="86"/>
      <c r="ES117" s="86"/>
      <c r="ET117" s="86"/>
      <c r="EU117" s="86"/>
      <c r="EV117" s="86"/>
      <c r="EW117" s="86"/>
      <c r="EX117" s="86"/>
      <c r="EY117" s="86"/>
      <c r="EZ117" s="86"/>
      <c r="FA117" s="86"/>
      <c r="FB117" s="86"/>
      <c r="FC117" s="86"/>
      <c r="FD117" s="86"/>
      <c r="FE117" s="86"/>
      <c r="FF117" s="86"/>
      <c r="FG117" s="86"/>
      <c r="FH117" s="86"/>
      <c r="FI117" s="86"/>
      <c r="FJ117" s="86"/>
      <c r="FK117" s="86"/>
      <c r="FL117" s="86"/>
      <c r="FM117" s="86"/>
      <c r="FN117" s="86"/>
      <c r="FO117" s="86"/>
      <c r="FP117" s="86"/>
      <c r="FQ117" s="86"/>
      <c r="FR117" s="86"/>
      <c r="FS117" s="86"/>
      <c r="FT117" s="86"/>
      <c r="FU117" s="86"/>
      <c r="FV117" s="86"/>
      <c r="FW117" s="86"/>
      <c r="FX117" s="86"/>
      <c r="FY117" s="86"/>
      <c r="FZ117" s="86"/>
      <c r="GA117" s="86"/>
      <c r="GB117" s="86"/>
      <c r="GC117" s="86"/>
      <c r="GD117" s="86"/>
      <c r="GE117" s="86"/>
      <c r="GF117" s="86"/>
      <c r="GG117" s="86"/>
      <c r="GH117" s="86"/>
      <c r="GI117" s="86"/>
      <c r="GJ117" s="86"/>
      <c r="GK117" s="86"/>
      <c r="GL117" s="86"/>
      <c r="GM117" s="86"/>
      <c r="GN117" s="86"/>
      <c r="GO117" s="86"/>
      <c r="GP117" s="86"/>
      <c r="GQ117" s="86"/>
      <c r="GR117" s="86"/>
      <c r="GS117" s="86"/>
      <c r="GT117" s="86"/>
      <c r="GU117" s="86"/>
      <c r="GV117" s="86"/>
      <c r="GW117" s="86"/>
      <c r="GX117" s="86"/>
      <c r="GY117" s="86"/>
      <c r="GZ117" s="86"/>
      <c r="HA117" s="86"/>
      <c r="HB117" s="86"/>
      <c r="HC117" s="86"/>
      <c r="HD117" s="86"/>
      <c r="HE117" s="86"/>
      <c r="HF117" s="86"/>
      <c r="HG117" s="86"/>
      <c r="HH117" s="86"/>
      <c r="HI117" s="86"/>
      <c r="HJ117" s="86"/>
      <c r="HK117" s="86"/>
      <c r="HL117" s="86"/>
      <c r="HM117" s="86"/>
      <c r="HN117" s="86"/>
      <c r="HO117" s="86"/>
      <c r="HP117" s="86"/>
      <c r="HQ117" s="86"/>
      <c r="HR117" s="86"/>
      <c r="HS117" s="86"/>
      <c r="HT117" s="86"/>
      <c r="HU117" s="86"/>
      <c r="HV117" s="86"/>
      <c r="HW117" s="86"/>
      <c r="HX117" s="86"/>
      <c r="HY117" s="86"/>
      <c r="HZ117" s="86"/>
      <c r="IA117" s="86"/>
      <c r="IB117" s="86"/>
      <c r="IC117" s="86"/>
      <c r="ID117" s="86"/>
      <c r="IE117" s="86"/>
      <c r="IF117" s="86"/>
      <c r="IG117" s="86"/>
      <c r="IH117" s="86"/>
      <c r="II117" s="86"/>
      <c r="IJ117" s="86"/>
      <c r="IK117" s="86"/>
      <c r="IL117" s="86"/>
      <c r="IM117" s="86"/>
      <c r="IN117" s="86"/>
      <c r="IO117" s="86"/>
      <c r="IP117" s="86"/>
      <c r="IQ117" s="86"/>
      <c r="IR117" s="86"/>
      <c r="IS117" s="86"/>
      <c r="IT117" s="86"/>
      <c r="IU117" s="86"/>
      <c r="IV117" s="86"/>
      <c r="IW117" s="86"/>
      <c r="IX117" s="86"/>
      <c r="IY117" s="86"/>
      <c r="IZ117" s="86"/>
      <c r="JA117" s="86"/>
      <c r="JB117" s="86"/>
      <c r="JC117" s="86"/>
      <c r="JD117" s="86"/>
      <c r="JE117" s="86"/>
      <c r="JF117" s="86"/>
      <c r="JG117" s="86"/>
      <c r="JH117" s="86"/>
      <c r="JI117" s="86"/>
      <c r="JJ117" s="86"/>
      <c r="JK117" s="86"/>
      <c r="JL117" s="86"/>
      <c r="JM117" s="86"/>
      <c r="JN117" s="86"/>
      <c r="JO117" s="86"/>
      <c r="JP117" s="86"/>
      <c r="JQ117" s="86"/>
      <c r="JR117" s="86"/>
      <c r="JS117" s="86"/>
      <c r="JT117" s="86"/>
      <c r="JU117" s="86"/>
      <c r="JV117" s="86"/>
      <c r="JW117" s="86"/>
      <c r="JX117" s="86"/>
      <c r="JY117" s="86"/>
      <c r="JZ117" s="86"/>
      <c r="KA117" s="86"/>
      <c r="KB117" s="86"/>
      <c r="KC117" s="86"/>
      <c r="KD117" s="86"/>
      <c r="KE117" s="86"/>
      <c r="KF117" s="86"/>
      <c r="KG117" s="86"/>
      <c r="KH117" s="86"/>
      <c r="KI117" s="86"/>
      <c r="KJ117" s="86"/>
      <c r="KK117" s="86"/>
      <c r="KL117" s="86"/>
      <c r="KM117" s="86"/>
      <c r="KN117" s="86"/>
      <c r="KO117" s="86"/>
      <c r="KP117" s="86"/>
      <c r="KQ117" s="86"/>
      <c r="KR117" s="86"/>
      <c r="KS117" s="86"/>
      <c r="KT117" s="86"/>
      <c r="KU117" s="86"/>
      <c r="KV117" s="86"/>
      <c r="KW117" s="86"/>
      <c r="KX117" s="86"/>
      <c r="KY117" s="86"/>
      <c r="KZ117" s="86"/>
      <c r="LA117" s="86"/>
      <c r="LB117" s="86"/>
      <c r="LC117" s="86"/>
      <c r="LD117" s="86"/>
      <c r="LE117" s="86"/>
      <c r="LF117" s="86"/>
      <c r="LG117" s="86"/>
      <c r="LH117" s="86"/>
      <c r="LI117" s="86"/>
      <c r="LJ117" s="86"/>
      <c r="LK117" s="86"/>
      <c r="LL117" s="86"/>
      <c r="LM117" s="86"/>
      <c r="LN117" s="86"/>
      <c r="LO117" s="86"/>
      <c r="LP117" s="86"/>
      <c r="LQ117" s="86"/>
      <c r="LR117" s="86"/>
      <c r="LS117" s="86"/>
      <c r="LT117" s="86"/>
      <c r="LU117" s="86"/>
      <c r="LV117" s="86"/>
      <c r="LW117" s="86"/>
      <c r="LX117" s="86"/>
      <c r="LY117" s="86"/>
      <c r="LZ117" s="86"/>
      <c r="MA117" s="86"/>
      <c r="MB117" s="86"/>
      <c r="MC117" s="86"/>
      <c r="MD117" s="86"/>
      <c r="ME117" s="86"/>
      <c r="MF117" s="86"/>
      <c r="MG117" s="86"/>
      <c r="MH117" s="86"/>
      <c r="MI117" s="86"/>
      <c r="MJ117" s="86"/>
      <c r="MK117" s="86"/>
      <c r="ML117" s="86"/>
      <c r="MM117" s="86"/>
      <c r="MN117" s="86"/>
      <c r="MO117" s="86"/>
      <c r="MP117" s="86"/>
      <c r="MQ117" s="86"/>
      <c r="MR117" s="86"/>
      <c r="MS117" s="86"/>
      <c r="MT117" s="86"/>
      <c r="MU117" s="86"/>
      <c r="MV117" s="86"/>
      <c r="MW117" s="86"/>
      <c r="MX117" s="86"/>
      <c r="MY117" s="86"/>
      <c r="MZ117" s="86"/>
      <c r="NA117" s="86"/>
      <c r="NB117" s="86"/>
      <c r="NC117" s="86"/>
      <c r="ND117" s="86"/>
      <c r="NE117" s="86"/>
      <c r="NF117" s="86"/>
      <c r="NG117" s="86"/>
      <c r="NH117" s="86"/>
      <c r="NI117" s="86"/>
      <c r="NJ117" s="86"/>
      <c r="NK117" s="86"/>
      <c r="NL117" s="86"/>
      <c r="NM117" s="86"/>
      <c r="NN117" s="86"/>
      <c r="NO117" s="86"/>
      <c r="NP117" s="86"/>
      <c r="NQ117" s="86"/>
      <c r="NR117" s="86"/>
      <c r="NS117" s="86"/>
      <c r="NT117" s="86"/>
      <c r="NU117" s="86"/>
      <c r="NV117" s="86"/>
      <c r="NW117" s="86"/>
      <c r="NX117" s="86"/>
      <c r="NY117" s="86"/>
      <c r="NZ117" s="86"/>
      <c r="OA117" s="86"/>
      <c r="OB117" s="86"/>
      <c r="OC117" s="86"/>
      <c r="OD117" s="86"/>
      <c r="OE117" s="86"/>
      <c r="OF117" s="86"/>
      <c r="OG117" s="86"/>
      <c r="OH117" s="86"/>
      <c r="OI117" s="86"/>
      <c r="OJ117" s="86"/>
      <c r="OK117" s="86"/>
      <c r="OL117" s="86"/>
      <c r="OM117" s="86"/>
      <c r="ON117" s="86"/>
      <c r="OO117" s="86"/>
      <c r="OP117" s="86"/>
      <c r="OQ117" s="86"/>
      <c r="OR117" s="86"/>
      <c r="OS117" s="86"/>
      <c r="OT117" s="86"/>
      <c r="OU117" s="86"/>
      <c r="OV117" s="86"/>
      <c r="OW117" s="86"/>
      <c r="OX117" s="86"/>
      <c r="OY117" s="86"/>
      <c r="OZ117" s="86"/>
      <c r="PA117" s="86"/>
      <c r="PB117" s="86"/>
      <c r="PC117" s="86"/>
      <c r="PD117" s="86"/>
      <c r="PE117" s="86"/>
      <c r="PF117" s="86"/>
      <c r="PG117" s="86"/>
      <c r="PH117" s="86"/>
      <c r="PI117" s="86"/>
      <c r="PJ117" s="86"/>
      <c r="PK117" s="86"/>
      <c r="PL117" s="86"/>
      <c r="PM117" s="86"/>
      <c r="PN117" s="86"/>
      <c r="PO117" s="86"/>
      <c r="PP117" s="86"/>
      <c r="PQ117" s="86"/>
      <c r="PR117" s="86"/>
      <c r="PS117" s="86"/>
      <c r="PT117" s="86"/>
      <c r="PU117" s="86"/>
      <c r="PV117" s="86"/>
      <c r="PW117" s="86"/>
      <c r="PX117" s="86"/>
      <c r="PY117" s="86"/>
      <c r="PZ117" s="86"/>
      <c r="QA117" s="86"/>
      <c r="QB117" s="86"/>
      <c r="QC117" s="86"/>
      <c r="QD117" s="86"/>
      <c r="QE117" s="86"/>
      <c r="QF117" s="86"/>
      <c r="QG117" s="86"/>
      <c r="QH117" s="86"/>
      <c r="QI117" s="86"/>
      <c r="QJ117" s="86"/>
      <c r="QK117" s="86"/>
      <c r="QL117" s="86"/>
      <c r="QM117" s="86"/>
      <c r="QN117" s="86"/>
      <c r="QO117" s="86"/>
      <c r="QP117" s="86"/>
      <c r="QQ117" s="86"/>
      <c r="QR117" s="86"/>
      <c r="QS117" s="86"/>
      <c r="QT117" s="86"/>
      <c r="QU117" s="86"/>
      <c r="QV117" s="86"/>
      <c r="QW117" s="86"/>
      <c r="QX117" s="86"/>
      <c r="QY117" s="86"/>
      <c r="QZ117" s="86"/>
      <c r="RA117" s="86"/>
      <c r="RB117" s="86"/>
      <c r="RC117" s="86"/>
      <c r="RD117" s="86"/>
      <c r="RE117" s="86"/>
      <c r="RF117" s="86"/>
      <c r="RG117" s="86"/>
      <c r="RH117" s="86"/>
      <c r="RI117" s="86"/>
      <c r="RJ117" s="86"/>
      <c r="RK117" s="86"/>
      <c r="RL117" s="86"/>
      <c r="RM117" s="86"/>
    </row>
    <row r="118" spans="1:481">
      <c r="A118" s="160" t="s">
        <v>512</v>
      </c>
      <c r="C118" s="91" t="s">
        <v>503</v>
      </c>
      <c r="D118" s="92"/>
      <c r="E118" s="91" t="s">
        <v>518</v>
      </c>
      <c r="F118" s="92"/>
      <c r="G118" s="92"/>
      <c r="H118" s="162"/>
      <c r="I118" s="92"/>
      <c r="J118" s="92"/>
      <c r="K118" s="92"/>
      <c r="L118" s="91" t="s">
        <v>517</v>
      </c>
      <c r="M118" s="91" t="s">
        <v>504</v>
      </c>
      <c r="N118" s="92"/>
      <c r="O118" s="92"/>
      <c r="P118" s="92"/>
      <c r="Q118" s="92"/>
      <c r="R118" s="92"/>
      <c r="S118" s="92"/>
      <c r="T118" s="92"/>
      <c r="U118" s="92"/>
      <c r="V118" s="92"/>
      <c r="W118" s="91" t="s">
        <v>503</v>
      </c>
      <c r="X118" s="92"/>
      <c r="Y118" s="92"/>
      <c r="Z118" s="92"/>
      <c r="AA118" s="91" t="s">
        <v>528</v>
      </c>
      <c r="AB118" s="91" t="s">
        <v>517</v>
      </c>
      <c r="AC118" s="92"/>
      <c r="AD118" s="92"/>
      <c r="AE118" s="86"/>
      <c r="AF118" s="91" t="s">
        <v>504</v>
      </c>
      <c r="AG118" s="92"/>
      <c r="AH118" s="93"/>
    </row>
    <row r="119" spans="1:481" ht="303.75">
      <c r="A119" s="164"/>
      <c r="H119" s="88"/>
      <c r="L119" s="86"/>
      <c r="O119" s="87"/>
      <c r="P119" s="174" t="s">
        <v>522</v>
      </c>
      <c r="Q119" s="164"/>
      <c r="R119" s="164"/>
      <c r="S119" s="183" t="s">
        <v>556</v>
      </c>
      <c r="T119" s="175"/>
      <c r="U119" s="164"/>
      <c r="V119" s="176"/>
      <c r="W119" s="174" t="s">
        <v>524</v>
      </c>
      <c r="X119" s="164"/>
      <c r="Y119" s="175"/>
      <c r="Z119" s="164"/>
      <c r="AA119" s="175" t="s">
        <v>505</v>
      </c>
      <c r="AB119" s="174" t="s">
        <v>523</v>
      </c>
      <c r="AD119" s="87"/>
      <c r="AE119" s="86"/>
      <c r="AF119" s="87"/>
      <c r="AG119" s="87"/>
      <c r="AH119" s="93"/>
    </row>
    <row r="120" spans="1:481">
      <c r="C120" s="86"/>
      <c r="D120" s="86"/>
      <c r="E120" s="86"/>
      <c r="F120" s="94"/>
      <c r="G120" s="86"/>
      <c r="H120" s="86"/>
      <c r="I120" s="94"/>
      <c r="J120" s="86"/>
      <c r="K120" s="86"/>
      <c r="L120" s="86"/>
      <c r="M120" s="86"/>
      <c r="N120" s="86"/>
      <c r="O120" s="86"/>
      <c r="S120" s="86"/>
      <c r="U120" s="94"/>
      <c r="X120" s="86"/>
      <c r="Y120" s="86"/>
      <c r="Z120" s="86"/>
      <c r="AA120" s="86"/>
      <c r="AB120" s="86"/>
      <c r="AC120" s="86"/>
      <c r="AE120" s="86"/>
      <c r="AF120" s="86"/>
      <c r="AH120" s="93"/>
    </row>
    <row r="121" spans="1:481">
      <c r="A121" s="164" t="s">
        <v>506</v>
      </c>
      <c r="B121" s="164"/>
      <c r="C121" s="164"/>
      <c r="D121" s="164"/>
      <c r="E121" s="164"/>
      <c r="H121" s="87"/>
      <c r="L121" s="86"/>
      <c r="O121" s="87"/>
      <c r="P121" s="135"/>
      <c r="Q121" s="87"/>
      <c r="T121" s="87"/>
      <c r="U121" s="87"/>
      <c r="V121" s="87"/>
      <c r="W121" s="87"/>
      <c r="AD121" s="87"/>
      <c r="AE121" s="86"/>
      <c r="AF121" s="87"/>
      <c r="AG121" s="87"/>
      <c r="AH121" s="93"/>
    </row>
    <row r="122" spans="1:481">
      <c r="A122" s="164" t="s">
        <v>507</v>
      </c>
      <c r="H122" s="87"/>
      <c r="L122" s="86"/>
      <c r="O122" s="87"/>
      <c r="P122" s="87"/>
      <c r="Q122" s="87"/>
      <c r="T122" s="87"/>
      <c r="U122" s="87"/>
      <c r="V122" s="87"/>
      <c r="W122" s="87"/>
      <c r="AD122" s="87"/>
      <c r="AE122" s="86"/>
      <c r="AF122" s="87"/>
      <c r="AG122" s="87"/>
      <c r="AH122" s="93"/>
    </row>
    <row r="123" spans="1:481">
      <c r="O123" s="87"/>
      <c r="P123" s="87"/>
      <c r="S123" s="86"/>
      <c r="U123" s="87"/>
      <c r="X123" s="86"/>
      <c r="Y123" s="86"/>
      <c r="AD123" s="87"/>
      <c r="AE123" s="86"/>
      <c r="AF123" s="87"/>
      <c r="AG123" s="87"/>
      <c r="AH123" s="93"/>
    </row>
    <row r="124" spans="1:481">
      <c r="O124" s="87"/>
      <c r="P124" s="87"/>
      <c r="S124" s="86"/>
      <c r="T124" s="87"/>
      <c r="X124" s="86"/>
      <c r="AD124" s="87"/>
      <c r="AF124" s="87"/>
      <c r="AG124" s="93"/>
    </row>
    <row r="125" spans="1:481">
      <c r="O125" s="87"/>
      <c r="P125" s="87"/>
      <c r="S125" s="86"/>
      <c r="T125" s="87"/>
      <c r="X125" s="86"/>
      <c r="AD125" s="87"/>
      <c r="AF125" s="87"/>
      <c r="AG125" s="93"/>
    </row>
    <row r="126" spans="1:481">
      <c r="O126" s="87"/>
      <c r="P126" s="87"/>
      <c r="S126" s="86"/>
      <c r="T126" s="87"/>
      <c r="X126" s="86"/>
      <c r="AD126" s="87"/>
      <c r="AF126" s="87"/>
      <c r="AG126" s="93"/>
    </row>
    <row r="127" spans="1:481">
      <c r="O127" s="87"/>
      <c r="P127" s="87"/>
      <c r="S127" s="86"/>
      <c r="T127" s="87"/>
      <c r="X127" s="86"/>
      <c r="AD127" s="87"/>
      <c r="AF127" s="87"/>
      <c r="AG127" s="93"/>
    </row>
    <row r="128" spans="1:481">
      <c r="O128" s="87"/>
      <c r="P128" s="87"/>
      <c r="S128" s="86"/>
      <c r="T128" s="87"/>
      <c r="X128" s="86"/>
      <c r="AD128" s="87"/>
      <c r="AF128" s="87"/>
      <c r="AG128" s="93"/>
    </row>
    <row r="129" spans="15:33">
      <c r="O129" s="87"/>
      <c r="P129" s="87"/>
      <c r="S129" s="86"/>
      <c r="T129" s="87"/>
      <c r="X129" s="86"/>
      <c r="AD129" s="87"/>
      <c r="AF129" s="87"/>
      <c r="AG129" s="93"/>
    </row>
    <row r="130" spans="15:33">
      <c r="O130" s="87"/>
      <c r="P130" s="87"/>
      <c r="S130" s="86"/>
      <c r="T130" s="87"/>
      <c r="X130" s="86"/>
      <c r="AD130" s="87"/>
      <c r="AF130" s="87"/>
      <c r="AG130" s="93"/>
    </row>
    <row r="131" spans="15:33">
      <c r="O131" s="87"/>
      <c r="P131" s="87"/>
      <c r="S131" s="86"/>
      <c r="T131" s="87"/>
      <c r="X131" s="86"/>
      <c r="AD131" s="87"/>
      <c r="AF131" s="87"/>
      <c r="AG131" s="93"/>
    </row>
    <row r="132" spans="15:33">
      <c r="O132" s="87"/>
    </row>
    <row r="133" spans="15:33">
      <c r="O133" s="87"/>
    </row>
    <row r="134" spans="15:33">
      <c r="O134" s="87"/>
    </row>
    <row r="135" spans="15:33">
      <c r="O135" s="87"/>
    </row>
    <row r="136" spans="15:33">
      <c r="O136" s="87"/>
    </row>
    <row r="137" spans="15:33">
      <c r="O137" s="87"/>
    </row>
    <row r="138" spans="15:33">
      <c r="O138" s="87"/>
    </row>
    <row r="139" spans="15:33">
      <c r="O139" s="87"/>
    </row>
    <row r="140" spans="15:33">
      <c r="O140" s="87"/>
    </row>
    <row r="141" spans="15:33">
      <c r="O141" s="87"/>
    </row>
    <row r="142" spans="15:33">
      <c r="O142" s="87"/>
    </row>
  </sheetData>
  <mergeCells count="13">
    <mergeCell ref="AB65:AB66"/>
    <mergeCell ref="AB90:AB91"/>
    <mergeCell ref="AB100:AB101"/>
    <mergeCell ref="AB106:AB107"/>
    <mergeCell ref="P8:P9"/>
    <mergeCell ref="P17:P18"/>
    <mergeCell ref="P49:P50"/>
    <mergeCell ref="P58:P59"/>
    <mergeCell ref="AB8:AB9"/>
    <mergeCell ref="AB18:AB19"/>
    <mergeCell ref="AB24:AB25"/>
    <mergeCell ref="AB49:AB50"/>
    <mergeCell ref="AB59:AB60"/>
  </mergeCells>
  <pageMargins left="0.7" right="0.7" top="0.75" bottom="0.75" header="0.3" footer="0.3"/>
  <pageSetup paperSize="9" orientation="portrait" r:id="rId1"/>
  <headerFooter>
    <oddFooter>&amp;C_x000D_&amp;1#&amp;"Aptos"&amp;10&amp;K0000FF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9a60641146cc569c79485b56ed4b21f6">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032ced2f3b94eb4200151775e7513f61"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ECDProjectMembers xmlns="22a5b7d0-1699-458f-b8e2-4d8247229549">
      <UserInfo>
        <DisplayName>FREY Valerie, ELS/SPD</DisplayName>
        <AccountId>142</AccountId>
        <AccountType/>
      </UserInfo>
      <UserInfo>
        <DisplayName>ADEMA Willem, ELS/SPD</DisplayName>
        <AccountId>96</AccountId>
        <AccountType/>
      </UserInfo>
      <UserInfo>
        <DisplayName>CLARKE Chris, WISE/CWB</DisplayName>
        <AccountId>124</AccountId>
        <AccountType/>
      </UserInfo>
      <UserInfo>
        <DisplayName>QUEISSER Monika, ELS</DisplayName>
        <AccountId>90</AccountId>
        <AccountType/>
      </UserInfo>
      <UserInfo>
        <DisplayName>LADAIQUE Maxime, ELS/SPD</DisplayName>
        <AccountId>129</AccountId>
        <AccountType/>
      </UserInfo>
      <UserInfo>
        <DisplayName>FRON Pauline, ELS/SPD</DisplayName>
        <AccountId>219</AccountId>
        <AccountType/>
      </UserInfo>
      <UserInfo>
        <DisplayName>LAGORCE Natalie, CTP</DisplayName>
        <AccountId>232</AccountId>
        <AccountType/>
      </UserInfo>
      <UserInfo>
        <DisplayName>CORDOVA Christelle, ECO/MPD</DisplayName>
        <AccountId>832</AccountId>
        <AccountType/>
      </UserInfo>
      <UserInfo>
        <DisplayName>STRAPPS Sarah, ELS/SPD</DisplayName>
        <AccountId>1133</AccountId>
        <AccountType/>
      </UserInfo>
      <UserInfo>
        <DisplayName>FLUCHTMANN Jonas, ELS/SPD</DisplayName>
        <AccountId>3581</AccountId>
        <AccountType/>
      </UserInfo>
      <UserInfo>
        <DisplayName>ALBERTONE Baptiste, ELS/SPD</DisplayName>
        <AccountId>3584</AccountId>
        <AccountType/>
      </UserInfo>
    </OECDProjectMembers>
    <eShareTopicTaxHTField0 xmlns="c9f238dd-bb73-4aef-a7a5-d644ad823e52">
      <Terms xmlns="http://schemas.microsoft.com/office/infopath/2007/PartnerControls">
        <TermInfo xmlns="http://schemas.microsoft.com/office/infopath/2007/PartnerControls">
          <TermName xmlns="http://schemas.microsoft.com/office/infopath/2007/PartnerControls">Gender equality</TermName>
          <TermId xmlns="http://schemas.microsoft.com/office/infopath/2007/PartnerControls">7dd30b32-09fc-4762-ab57-14f72074c2b8</TermId>
        </TermInfo>
      </Terms>
    </eShareTopicTaxHTField0>
    <OECDProjectManager xmlns="22a5b7d0-1699-458f-b8e2-4d8247229549">
      <UserInfo>
        <DisplayName/>
        <AccountId>96</AccountId>
        <AccountType/>
      </UserInfo>
    </OECDProjectManager>
    <eShareCountryTaxHTField0 xmlns="c9f238dd-bb73-4aef-a7a5-d644ad823e52">
      <Terms xmlns="http://schemas.microsoft.com/office/infopath/2007/PartnerControls"/>
    </eShareCountryTaxHTField0>
    <cc3d610261fc4fa09f62df6074327105 xmlns="c5805097-db0a-42f9-a837-be9035f1f571">
      <Terms xmlns="http://schemas.microsoft.com/office/infopath/2007/PartnerControls"/>
    </cc3d610261fc4fa09f62df6074327105>
    <OECDProjectLookup xmlns="22a5b7d0-1699-458f-b8e2-4d8247229549">82</OECDProjectLookup>
    <eSharePWBTaxHTField0 xmlns="c9f238dd-bb73-4aef-a7a5-d644ad823e52">
      <Terms xmlns="http://schemas.microsoft.com/office/infopath/2007/PartnerControls">
        <TermInfo xmlns="http://schemas.microsoft.com/office/infopath/2007/PartnerControls">
          <TermName xmlns="http://schemas.microsoft.com/office/infopath/2007/PartnerControls">2.2.3.4 Child well-being, family and gender</TermName>
          <TermId xmlns="http://schemas.microsoft.com/office/infopath/2007/PartnerControls">0c9bc8f4-d930-423b-b317-8f0609f98583</TermId>
        </TermInfo>
      </Terms>
    </eSharePWBTaxHTField0>
    <TaxCatchAll xmlns="ca82dde9-3436-4d3d-bddd-d31447390034">
      <Value>1019</Value>
      <Value>184</Value>
      <Value>214</Value>
      <Value>22</Value>
      <Value>479</Value>
      <Value>1020</Value>
    </TaxCatchAll>
    <OECDMainProject xmlns="22a5b7d0-1699-458f-b8e2-4d8247229549">13</OECDMainProject>
    <eShareKeywordsTaxHTField0 xmlns="c9f238dd-bb73-4aef-a7a5-d644ad823e52">
      <Terms xmlns="http://schemas.microsoft.com/office/infopath/2007/PartnerControls">
        <TermInfo xmlns="http://schemas.microsoft.com/office/infopath/2007/PartnerControls">
          <TermName xmlns="http://schemas.microsoft.com/office/infopath/2007/PartnerControls">Gender</TermName>
          <TermId xmlns="http://schemas.microsoft.com/office/infopath/2007/PartnerControls">41562291-69fe-444f-b493-56384e0e408c</TermId>
        </TermInfo>
        <TermInfo xmlns="http://schemas.microsoft.com/office/infopath/2007/PartnerControls">
          <TermName xmlns="http://schemas.microsoft.com/office/infopath/2007/PartnerControls">Gender equality and development</TermName>
          <TermId xmlns="http://schemas.microsoft.com/office/infopath/2007/PartnerControls">b0d2661c-2803-4b76-8e69-25e8be2c0540</TermId>
        </TermInfo>
        <TermInfo xmlns="http://schemas.microsoft.com/office/infopath/2007/PartnerControls">
          <TermName xmlns="http://schemas.microsoft.com/office/infopath/2007/PartnerControls">Gender project</TermName>
          <TermId xmlns="http://schemas.microsoft.com/office/infopath/2007/PartnerControls">455e8630-7e16-459c-9cc3-ce0a3115d76e</TermId>
        </TermInfo>
      </Terms>
    </eShareKeywordsTaxHTField0>
    <k87588ac03a94edb9fcc4f2494cfdd51 xmlns="22a5b7d0-1699-458f-b8e2-4d8247229549">
      <Terms xmlns="http://schemas.microsoft.com/office/infopath/2007/PartnerControls"/>
    </k87588ac03a94edb9fcc4f2494cfdd51>
    <eShareCommitteeTaxHTField0 xmlns="c9f238dd-bb73-4aef-a7a5-d644ad823e52">
      <Terms xmlns="http://schemas.microsoft.com/office/infopath/2007/PartnerControls">
        <TermInfo xmlns="http://schemas.microsoft.com/office/infopath/2007/PartnerControls">
          <TermName xmlns="http://schemas.microsoft.com/office/infopath/2007/PartnerControls">Employment, Labour and Social Affairs Committee</TermName>
          <TermId xmlns="http://schemas.microsoft.com/office/infopath/2007/PartnerControls">042c2d58-0ad6-4bf4-853d-cad057c581bf</TermId>
        </TermInfo>
      </Terms>
    </eShareCommitteeTaxHTField0>
    <eShareHorizProjTaxHTField0 xmlns="c5805097-db0a-42f9-a837-be9035f1f571" xsi:nil="true"/>
    <OECDKimBussinessContext xmlns="54c4cd27-f286-408f-9ce0-33c1e0f3ab39" xsi:nil="true"/>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TagsCache xmlns="22a5b7d0-1699-458f-b8e2-4d8247229549" xsi:nil="true"/>
    <b8c3c820c0584e889da065b0a99e2c1a xmlns="22a5b7d0-1699-458f-b8e2-4d8247229549" xsi:nil="true"/>
    <OECDMeetingDate xmlns="54c4cd27-f286-408f-9ce0-33c1e0f3ab39" xsi:nil="true"/>
    <OECDSharingStatus xmlns="22a5b7d0-1699-458f-b8e2-4d8247229549" xsi:nil="true"/>
    <OECDCommunityDocumentURL xmlns="22a5b7d0-1699-458f-b8e2-4d8247229549" xsi:nil="true"/>
    <OECDPinnedBy xmlns="22a5b7d0-1699-458f-b8e2-4d8247229549">
      <UserInfo>
        <DisplayName/>
        <AccountId xsi:nil="true"/>
        <AccountType/>
      </UserInfo>
    </OECDPinnedBy>
    <OECDKimProvenance xmlns="54c4cd27-f286-408f-9ce0-33c1e0f3ab39" xsi:nil="true"/>
    <OECDKimStatus xmlns="54c4cd27-f286-408f-9ce0-33c1e0f3ab39">Draft</OECDKimStatus>
    <OECDExpirationDate xmlns="c5805097-db0a-42f9-a837-be9035f1f571" xsi:nil="true"/>
  </documentManagement>
</p:properties>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C8BEDFD6-452C-4ACE-99AB-BD5E8732F3D7}">
  <ds:schemaRefs>
    <ds:schemaRef ds:uri="http://schemas.microsoft.com/sharepoint/v3/contenttype/forms"/>
  </ds:schemaRefs>
</ds:datastoreItem>
</file>

<file path=customXml/itemProps2.xml><?xml version="1.0" encoding="utf-8"?>
<ds:datastoreItem xmlns:ds="http://schemas.openxmlformats.org/officeDocument/2006/customXml" ds:itemID="{39004BE4-F559-419D-9499-D31C882738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7CF69C-B260-46B3-B670-5AFDC2E3DA51}">
  <ds:schemaRefs>
    <ds:schemaRef ds:uri="54c4cd27-f286-408f-9ce0-33c1e0f3ab39"/>
    <ds:schemaRef ds:uri="http://schemas.microsoft.com/sharepoint/v4"/>
    <ds:schemaRef ds:uri="http://purl.org/dc/terms/"/>
    <ds:schemaRef ds:uri="c5805097-db0a-42f9-a837-be9035f1f571"/>
    <ds:schemaRef ds:uri="c9f238dd-bb73-4aef-a7a5-d644ad823e52"/>
    <ds:schemaRef ds:uri="http://schemas.microsoft.com/office/2006/documentManagement/types"/>
    <ds:schemaRef ds:uri="http://schemas.microsoft.com/office/infopath/2007/PartnerControls"/>
    <ds:schemaRef ds:uri="ca82dde9-3436-4d3d-bddd-d31447390034"/>
    <ds:schemaRef ds:uri="http://purl.org/dc/elements/1.1/"/>
    <ds:schemaRef ds:uri="http://schemas.microsoft.com/office/2006/metadata/properties"/>
    <ds:schemaRef ds:uri="22a5b7d0-1699-458f-b8e2-4d8247229549"/>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3F450073-21CC-4DF9-8572-D7C51FA6A60C}">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1BF2CBED-2E59-48F7-86FC-75BD3A8173A4}">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Read me</vt:lpstr>
      <vt:lpstr>Total</vt:lpstr>
      <vt:lpstr>Men</vt:lpstr>
      <vt:lpstr>Women</vt:lpstr>
      <vt:lpstr>Activity categories &amp; sources</vt:lpstr>
      <vt:lpstr>Archive 2025</vt:lpstr>
      <vt:lpstr>Archive 2023</vt:lpstr>
      <vt:lpstr>Archive 2018</vt:lpstr>
      <vt:lpstr>'Read me'!Print_Area</vt:lpstr>
      <vt:lpstr>Total!Print_Area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BALESTRA Carlotta</dc:creator>
  <cp:lastModifiedBy>CHAVES BOSCH Gabriel, WISE/INE</cp:lastModifiedBy>
  <cp:lastPrinted>2018-02-28T15:56:52Z</cp:lastPrinted>
  <dcterms:created xsi:type="dcterms:W3CDTF">2018-02-19T09:54:03Z</dcterms:created>
  <dcterms:modified xsi:type="dcterms:W3CDTF">2026-06-09T08:00:29Z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Topic">
    <vt:lpwstr>184;#Gender equality|7dd30b32-09fc-4762-ab57-14f72074c2b8</vt:lpwstr>
  </property>
  <property fmtid="{D5CDD505-2E9C-101B-9397-08002B2CF9AE}" pid="3" name="OECDCountry">
    <vt:lpwstr/>
  </property>
  <property fmtid="{D5CDD505-2E9C-101B-9397-08002B2CF9AE}" pid="4" name="OECDCommittee">
    <vt:lpwstr>22;#Employment, Labour and Social Affairs Committee|042c2d58-0ad6-4bf4-853d-cad057c581bf</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1020;#2.2.3.4 Child well-being, family and gender|0c9bc8f4-d930-423b-b317-8f0609f98583</vt:lpwstr>
  </property>
  <property fmtid="{D5CDD505-2E9C-101B-9397-08002B2CF9AE}" pid="7" name="eShareOrganisationTaxHTField0">
    <vt:lpwstr/>
  </property>
  <property fmtid="{D5CDD505-2E9C-101B-9397-08002B2CF9AE}" pid="8" name="OECDKeywords">
    <vt:lpwstr>214;#Gender|41562291-69fe-444f-b493-56384e0e408c;#479;#Gender equality and development|b0d2661c-2803-4b76-8e69-25e8be2c0540;#1019;#Gender project|455e8630-7e16-459c-9cc3-ce0a3115d76e</vt:lpwstr>
  </property>
  <property fmtid="{D5CDD505-2E9C-101B-9397-08002B2CF9AE}" pid="9" name="OECDHorizontalProjects">
    <vt:lpwstr/>
  </property>
  <property fmtid="{D5CDD505-2E9C-101B-9397-08002B2CF9AE}" pid="10" name="OECDProjectOwnerStructure">
    <vt:lpwstr/>
  </property>
  <property fmtid="{D5CDD505-2E9C-101B-9397-08002B2CF9AE}" pid="11" name="OECDOrganisation">
    <vt:lpwstr/>
  </property>
  <property fmtid="{D5CDD505-2E9C-101B-9397-08002B2CF9AE}" pid="12" name="MSIP_Label_0e5510b0-e729-4ef0-a3dd-4ba0dfe56c99_Enabled">
    <vt:lpwstr>true</vt:lpwstr>
  </property>
  <property fmtid="{D5CDD505-2E9C-101B-9397-08002B2CF9AE}" pid="13" name="MSIP_Label_0e5510b0-e729-4ef0-a3dd-4ba0dfe56c99_SetDate">
    <vt:lpwstr>2026-04-20T12:57:31Z</vt:lpwstr>
  </property>
  <property fmtid="{D5CDD505-2E9C-101B-9397-08002B2CF9AE}" pid="14" name="MSIP_Label_0e5510b0-e729-4ef0-a3dd-4ba0dfe56c99_Method">
    <vt:lpwstr>Standard</vt:lpwstr>
  </property>
  <property fmtid="{D5CDD505-2E9C-101B-9397-08002B2CF9AE}" pid="15" name="MSIP_Label_0e5510b0-e729-4ef0-a3dd-4ba0dfe56c99_Name">
    <vt:lpwstr>Restricted Use</vt:lpwstr>
  </property>
  <property fmtid="{D5CDD505-2E9C-101B-9397-08002B2CF9AE}" pid="16" name="MSIP_Label_0e5510b0-e729-4ef0-a3dd-4ba0dfe56c99_SiteId">
    <vt:lpwstr>ac41c7d4-1f61-460d-b0f4-fc925a2b471c</vt:lpwstr>
  </property>
  <property fmtid="{D5CDD505-2E9C-101B-9397-08002B2CF9AE}" pid="17" name="MSIP_Label_0e5510b0-e729-4ef0-a3dd-4ba0dfe56c99_ActionId">
    <vt:lpwstr>8ffb6991-4d07-442b-8686-29a45ea3fd95</vt:lpwstr>
  </property>
  <property fmtid="{D5CDD505-2E9C-101B-9397-08002B2CF9AE}" pid="18" name="MSIP_Label_0e5510b0-e729-4ef0-a3dd-4ba0dfe56c99_ContentBits">
    <vt:lpwstr>2</vt:lpwstr>
  </property>
  <property fmtid="{D5CDD505-2E9C-101B-9397-08002B2CF9AE}" pid="19" name="MSIP_Label_0e5510b0-e729-4ef0-a3dd-4ba0dfe56c99_Tag">
    <vt:lpwstr>10, 3, 0, 1</vt:lpwstr>
  </property>
</Properties>
</file>